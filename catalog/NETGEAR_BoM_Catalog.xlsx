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Products" sheetId="2" state="visible" r:id="rId2"/>
    <sheet name="SKUs" sheetId="3" state="visible" r:id="rId3"/>
    <sheet name="Accessories" sheetId="4" state="visible" r:id="rId4"/>
    <sheet name="Compatibility" sheetId="5" state="visible" r:id="rId5"/>
    <sheet name="PSU_PoE_Matrix" sheetId="6" state="visible" r:id="rId6"/>
    <sheet name="Design_Rules" sheetId="7" state="visible" r:id="rId7"/>
    <sheet name="Model_Lookup" sheetId="8" state="visible" r:id="rId8"/>
    <sheet name="Endpoints" sheetId="9" state="visible" r:id="rId9"/>
    <sheet name="Port_Types" sheetId="10" state="visible" r:id="rId10"/>
    <sheet name="Tool_Settings" sheetId="11" state="visible" r:id="rId11"/>
    <sheet name="Data_Dictionary" sheetId="12" state="visible" r:id="rId12"/>
    <sheet name="Data_Gaps" sheetId="13" state="visible" r:id="rId13"/>
    <sheet name="Lists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utfit"/>
      <charset val="1"/>
      <family val="0"/>
      <b val="1"/>
      <color rgb="FFFFFFFF"/>
      <sz val="16"/>
    </font>
    <font>
      <name val="Outfit"/>
      <charset val="1"/>
      <family val="0"/>
      <i val="1"/>
      <color rgb="FF64748B"/>
      <sz val="9"/>
    </font>
    <font>
      <name val="Outfit"/>
      <charset val="1"/>
      <family val="0"/>
      <b val="1"/>
      <color rgb="FF101520"/>
      <sz val="10"/>
    </font>
    <font>
      <name val="Outfit"/>
      <charset val="1"/>
      <family val="0"/>
      <sz val="10"/>
    </font>
    <font>
      <name val="Outfit"/>
      <charset val="1"/>
      <family val="0"/>
      <color rgb="FF101520"/>
      <sz val="10"/>
    </font>
    <font>
      <name val="Outfit"/>
      <charset val="1"/>
      <family val="0"/>
      <b val="1"/>
      <sz val="10"/>
    </font>
    <font>
      <name val="Outfit"/>
      <charset val="1"/>
      <family val="0"/>
      <b val="1"/>
      <sz val="11"/>
    </font>
    <font>
      <name val="Outfit"/>
      <charset val="1"/>
      <family val="0"/>
      <color rgb="FF000000"/>
      <sz val="10"/>
    </font>
    <font>
      <name val="Outfit"/>
      <charset val="1"/>
      <family val="0"/>
      <b val="1"/>
      <color rgb="FF101520"/>
      <sz val="9"/>
    </font>
    <font>
      <name val="Outfit"/>
      <charset val="1"/>
      <family val="0"/>
      <b val="1"/>
      <color rgb="FFFFFFFF"/>
      <sz val="10"/>
    </font>
    <font>
      <name val="Arial"/>
      <family val="2"/>
      <sz val="10"/>
    </font>
    <font>
      <name val="Outfit"/>
      <charset val="1"/>
      <family val="0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101520"/>
        <bgColor rgb="FF000000"/>
      </patternFill>
    </fill>
    <fill>
      <patternFill patternType="solid">
        <fgColor rgb="FF26E880"/>
        <bgColor rgb="FF00FFFF"/>
      </patternFill>
    </fill>
    <fill>
      <patternFill patternType="solid">
        <fgColor rgb="FF2B3749"/>
        <bgColor rgb="FF333300"/>
      </patternFill>
    </fill>
    <fill>
      <patternFill patternType="solid">
        <fgColor rgb="FFFFF4B8"/>
        <bgColor rgb="FFFFFF99"/>
      </patternFill>
    </fill>
    <fill>
      <patternFill patternType="solid">
        <fgColor rgb="FFE2E8F0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 indent="1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6" fillId="3" borderId="0" applyAlignment="1" pivotButton="0" quotePrefix="0" xfId="0">
      <alignment horizontal="general" vertical="top"/>
    </xf>
    <xf numFmtId="0" fontId="9" fillId="3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2" fillId="3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/>
    </xf>
    <xf numFmtId="164" fontId="11" fillId="5" borderId="1" applyAlignment="1" pivotButton="0" quotePrefix="0" xfId="0">
      <alignment horizontal="general" vertical="top"/>
    </xf>
    <xf numFmtId="0" fontId="11" fillId="5" borderId="1" applyAlignment="1" pivotButton="0" quotePrefix="0" xfId="0">
      <alignment horizontal="general" vertical="top"/>
    </xf>
    <xf numFmtId="2" fontId="11" fillId="0" borderId="1" applyAlignment="1" pivotButton="0" quotePrefix="0" xfId="0">
      <alignment horizontal="general" vertical="top"/>
    </xf>
    <xf numFmtId="0" fontId="11" fillId="6" borderId="1" applyAlignment="1" pivotButton="0" quotePrefix="0" xfId="0">
      <alignment horizontal="general" vertical="top"/>
    </xf>
    <xf numFmtId="3" fontId="11" fillId="0" borderId="1" applyAlignment="1" pivotButton="0" quotePrefix="0" xfId="0">
      <alignment horizontal="general" vertical="top"/>
    </xf>
    <xf numFmtId="165" fontId="11" fillId="6" borderId="1" applyAlignment="1" pivotButton="0" quotePrefix="0" xfId="0">
      <alignment horizontal="general" vertical="top"/>
    </xf>
    <xf numFmtId="3" fontId="11" fillId="6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3" fontId="11" fillId="6" borderId="1" applyAlignment="1" pivotButton="0" quotePrefix="0" xfId="0">
      <alignment horizontal="general" vertical="top"/>
    </xf>
    <xf numFmtId="0" fontId="15" fillId="5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3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 indent="1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6" fillId="3" borderId="0" applyAlignment="1" pivotButton="0" quotePrefix="0" xfId="0">
      <alignment horizontal="general" vertical="top"/>
    </xf>
    <xf numFmtId="0" fontId="9" fillId="3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2" fillId="3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/>
    </xf>
    <xf numFmtId="164" fontId="11" fillId="5" borderId="1" applyAlignment="1" pivotButton="0" quotePrefix="0" xfId="0">
      <alignment horizontal="general" vertical="top"/>
    </xf>
    <xf numFmtId="0" fontId="11" fillId="5" borderId="1" applyAlignment="1" pivotButton="0" quotePrefix="0" xfId="0">
      <alignment horizontal="general" vertical="top"/>
    </xf>
    <xf numFmtId="2" fontId="11" fillId="0" borderId="1" applyAlignment="1" pivotButton="0" quotePrefix="0" xfId="0">
      <alignment horizontal="general" vertical="top"/>
    </xf>
    <xf numFmtId="0" fontId="11" fillId="6" borderId="1" applyAlignment="1" pivotButton="0" quotePrefix="0" xfId="0">
      <alignment horizontal="general" vertical="top"/>
    </xf>
    <xf numFmtId="3" fontId="11" fillId="0" borderId="1" applyAlignment="1" pivotButton="0" quotePrefix="0" xfId="0">
      <alignment horizontal="general" vertical="top"/>
    </xf>
    <xf numFmtId="165" fontId="11" fillId="6" borderId="1" applyAlignment="1" pivotButton="0" quotePrefix="0" xfId="0">
      <alignment horizontal="general" vertical="top"/>
    </xf>
    <xf numFmtId="3" fontId="11" fillId="6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3" fontId="11" fillId="6" borderId="1" applyAlignment="1" pivotButton="0" quotePrefix="0" xfId="0">
      <alignment horizontal="general" vertical="top"/>
    </xf>
    <xf numFmtId="0" fontId="15" fillId="5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3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B37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B8"/>
          <bgColor rgb="FF000000"/>
        </patternFill>
      </fill>
    </dxf>
    <dxf>
      <fill>
        <patternFill patternType="solid">
          <fgColor rgb="FFE2E8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B8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6E880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101520"/>
      <rgbColor rgb="FF333300"/>
      <rgbColor rgb="FF993300"/>
      <rgbColor rgb="FF993366"/>
      <rgbColor rgb="FF333399"/>
      <rgbColor rgb="FF2B37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Base model number (unique key used by every other sheet). e.g. GSM4212PX
Unit: - | Type: Text (key)</t>
      </text>
    </comment>
    <comment ref="B4" authorId="0" shapeId="0">
      <text>
        <t>Marketing model name
Unit: - | Type: Text</t>
      </text>
    </comment>
    <comment ref="C4" authorId="0" shapeId="0">
      <text>
        <t>Product family/series (M4250, M4350, PR460X, WBE7xx...)
Unit: - | Type: List</t>
      </text>
    </comment>
    <comment ref="D4" authorId="0" shapeId="0">
      <text>
        <t>Brand line (AV Line, AV and IT, Insight Pro)
Unit: - | Type: Text</t>
      </text>
    </comment>
    <comment ref="E4" authorId="0" shapeId="0">
      <text>
        <t>Switch / Router / Access Point
Unit: - | Type: List</t>
      </text>
    </comment>
    <comment ref="F4" authorId="0" shapeId="0">
      <text>
        <t>Design role the tool can filter on (Access/Edge, Aggregation/Core, Gateway, Wireless AP)
Unit: - | Type: List</t>
      </text>
    </comment>
    <comment ref="G4" authorId="0" shapeId="0">
      <text>
        <t>Management planes supported
Unit: - | Type: Text</t>
      </text>
    </comment>
    <comment ref="H4" authorId="0" shapeId="0">
      <text>
        <t>Active / NPI / EOS / EOL - tool should only offer Active by default
Unit: - | Type: List</t>
      </text>
    </comment>
    <comment ref="I4" authorId="0" shapeId="0">
      <text>
        <t>TO FILL from price book
Unit: USD | Type: Number</t>
      </text>
    </comment>
    <comment ref="J4" authorId="0" shapeId="0">
      <text>
        <t>TO FILL from ops/distribution
Unit: weeks | Type: Number</t>
      </text>
    </comment>
    <comment ref="K4" authorId="0" shapeId="0">
      <text>
        <t>TO FILL (end of sale)
Unit: date | Type: Date</t>
      </text>
    </comment>
    <comment ref="L4" authorId="0" shapeId="0">
      <text>
        <t>Desktop / 1U rack / 2U rack / Wall-ceiling
Unit: - | Type: List</t>
      </text>
    </comment>
    <comment ref="M4" authorId="0" shapeId="0">
      <text>
        <t>Rack units (blank for non-rack)
Unit: U | Type: Number</t>
      </text>
    </comment>
    <comment ref="N4" authorId="0" shapeId="0">
      <text>
        <t>Full width / Half width / Desktop / Ceiling-Wall (half-width = 2 per RU)
Unit: - | Type: List</t>
      </text>
    </comment>
    <comment ref="O4" authorId="0" shapeId="0">
      <text>
        <t>Width
Unit: mm | Type: Number</t>
      </text>
    </comment>
    <comment ref="P4" authorId="0" shapeId="0">
      <text>
        <t>Depth (rack depth check)
Unit: mm | Type: Number</t>
      </text>
    </comment>
    <comment ref="Q4" authorId="0" shapeId="0">
      <text>
        <t>Height
Unit: mm | Type: Number</t>
      </text>
    </comment>
    <comment ref="R4" authorId="0" shapeId="0">
      <text>
        <t>Unit weight
Unit: kg | Type: Number</t>
      </text>
    </comment>
    <comment ref="S4" authorId="0" shapeId="0">
      <text>
        <t>10/100/1000BASE-T RJ45 ports (PoE and non-PoE)
Unit: count | Type: Number</t>
      </text>
    </comment>
    <comment ref="T4" authorId="0" shapeId="0">
      <text>
        <t>Up-to-2.5GBASE-T RJ45 ports
Unit: count | Type: Number</t>
      </text>
    </comment>
    <comment ref="U4" authorId="0" shapeId="0">
      <text>
        <t>Multi-gig up-to-10GBASE-T RJ45 ports
Unit: count | Type: Number</t>
      </text>
    </comment>
    <comment ref="V4" authorId="0" shapeId="0">
      <text>
        <t>1G SFP cages
Unit: count | Type: Number</t>
      </text>
    </comment>
    <comment ref="W4" authorId="0" shapeId="0">
      <text>
        <t>1G/2.5G SFP cages
Unit: count | Type: Number</t>
      </text>
    </comment>
    <comment ref="X4" authorId="0" shapeId="0">
      <text>
        <t>1G/10G SFP+ cages
Unit: count | Type: Number</t>
      </text>
    </comment>
    <comment ref="Y4" authorId="0" shapeId="0">
      <text>
        <t>10G/25G SFP28 cages
Unit: count | Type: Number</t>
      </text>
    </comment>
    <comment ref="Z4" authorId="0" shapeId="0">
      <text>
        <t>40G/100G QSFP28 (4x25G breakout on M4350)
Unit: count | Type: Number</t>
      </text>
    </comment>
    <comment ref="AA4" authorId="0" shapeId="0">
      <text>
        <t>Up-to-5GBASE-T RJ45 ports (future-ready column)
Unit: count | Type: Number</t>
      </text>
    </comment>
    <comment ref="AB4" authorId="0" shapeId="0">
      <text>
        <t>SFP56 10/25/50G cages (future-ready column)
Unit: count | Type: Number</t>
      </text>
    </comment>
    <comment ref="AC4" authorId="0" shapeId="0">
      <text>
        <t>QSFP56 200G cages (future-ready column)
Unit: count | Type: Number</t>
      </text>
    </comment>
    <comment ref="AD4" authorId="0" shapeId="0">
      <text>
        <t>QSFP-DD 400G cages (future-ready column)
Unit: count | Type: Number</t>
      </text>
    </comment>
    <comment ref="AE4" authorId="0" shapeId="0">
      <text>
        <t>Combo 10GBASE-T/SFP+ (count once)
Unit: count | Type: Number</t>
      </text>
    </comment>
    <comment ref="AF4" authorId="0" shapeId="0">
      <text>
        <t>CALCULATED: sum of all port columns
Unit: count | Type: Formula</t>
      </text>
    </comment>
    <comment ref="AG4" authorId="0" shapeId="0">
      <text>
        <t>Machine-readable cap on 1G SFP modules (blank = no cap)
Unit: count | Type: Number</t>
      </text>
    </comment>
    <comment ref="AH4" authorId="0" shapeId="0">
      <text>
        <t>Speed/port-range caveats the tool must respect
Unit: - | Type: Text</t>
      </text>
    </comment>
    <comment ref="AI4" authorId="0" shapeId="0">
      <text>
        <t>Number of PoE-capable ports
Unit: count | Type: Number</t>
      </text>
    </comment>
    <comment ref="AJ4" authorId="0" shapeId="0">
      <text>
        <t>None / 802.3at PoE+ / 802.3bt Ultra90 PoE++ / PD (device consumes PoE)
Unit: - | Type: List</t>
      </text>
    </comment>
    <comment ref="AK4" authorId="0" shapeId="0">
      <text>
        <t>Max class per port (30 or 90W)
Unit: W | Type: Number</t>
      </text>
    </comment>
    <comment ref="AL4" authorId="0" shapeId="0">
      <text>
        <t>Budget as shipped (no extra PSU)
Unit: W | Type: Number</t>
      </text>
    </comment>
    <comment ref="AM4" authorId="0" shapeId="0">
      <text>
        <t>Max budget with best PSU config (see PSU_PoE_Matrix)
Unit: W | Type: Number</t>
      </text>
    </comment>
    <comment ref="AN4" authorId="0" shapeId="0">
      <text>
        <t>Max protected budget when one PSU fails
Unit: W | Type: Number</t>
      </text>
    </comment>
    <comment ref="AO4" authorId="0" shapeId="0">
      <text>
        <t>CALCULATED: max budget / PoE ports (quick 'can every port run X W' check)
Unit: W | Type: Formula</t>
      </text>
    </comment>
    <comment ref="AP4" authorId="0" shapeId="0">
      <text>
        <t>For powered devices (APs etc.): max draw to subtract from switch budget
Unit: W | Type: Number</t>
      </text>
    </comment>
    <comment ref="AQ4" authorId="0" shapeId="0">
      <text>
        <t>PoE standard needed for full function
Unit: - | Type: Text</t>
      </text>
    </comment>
    <comment ref="AR4" authorId="0" shapeId="0">
      <text>
        <t>Uplink port speed the device needs
Unit: - | Type: Text</t>
      </text>
    </comment>
    <comment ref="AS4" authorId="0" shapeId="0">
      <text>
        <t>Internal fixed / external adapter / modular
Unit: - | Type: Text</t>
      </text>
    </comment>
    <comment ref="AT4" authorId="0" shapeId="0">
      <text>
        <t>Internal/included PSU rating
Unit: W | Type: Number</t>
      </text>
    </comment>
    <comment ref="AU4" authorId="0" shapeId="0">
      <text>
        <t>Fixed/included PSUs
Unit: count | Type: Number</t>
      </text>
    </comment>
    <comment ref="AV4" authorId="0" shapeId="0">
      <text>
        <t>Empty modular PSU slots / extra DC inputs
Unit: count | Type: Number</t>
      </text>
    </comment>
    <comment ref="AW4" authorId="0" shapeId="0">
      <text>
        <t>Which modular PSU family fits (details in Compatibility)
Unit: - | Type: Text</t>
      </text>
    </comment>
    <comment ref="AX4" authorId="0" shapeId="0">
      <text>
        <t>Idle/standby consumption
Unit: W | Type: Number</t>
      </text>
    </comment>
    <comment ref="AY4" authorId="0" shapeId="0">
      <text>
        <t>All ports, line rate, no PoE
Unit: W | Type: Number</t>
      </text>
    </comment>
    <comment ref="AZ4" authorId="0" shapeId="0">
      <text>
        <t>All ports, max PoE budget (max PSU config)
Unit: W | Type: Number</t>
      </text>
    </comment>
    <comment ref="BA4" authorId="0" shapeId="0">
      <text>
        <t>CALCULATED: max power x 3.412 (UPS/HVAC sizing)
Unit: BTU/hr | Type: Formula</t>
      </text>
    </comment>
    <comment ref="BB4" authorId="0" shapeId="0">
      <text>
        <t>Non-blocking fabric
Unit: Gbps | Type: Number</t>
      </text>
    </comment>
    <comment ref="BC4" authorId="0" shapeId="0">
      <text>
        <t>64-byte forwarding rate
Unit: Mpps | Type: Number</t>
      </text>
    </comment>
    <comment ref="BD4" authorId="0" shapeId="0">
      <text>
        <t>Packet buffer (important for AV bursts)
Unit: Mb | Type: Number</t>
      </text>
    </comment>
    <comment ref="BE4" authorId="0" shapeId="0">
      <text>
        <t>System memory
Unit: GB | Type: Number</t>
      </text>
    </comment>
    <comment ref="BF4" authorId="0" shapeId="0">
      <text>
        <t>CPU
Unit: - | Type: Text</t>
      </text>
    </comment>
    <comment ref="BG4" authorId="0" shapeId="0">
      <text>
        <t>MAC address table
Unit: entries | Type: Number</t>
      </text>
    </comment>
    <comment ref="BH4" authorId="0" shapeId="0">
      <text>
        <t>Max concurrent VLANs
Unit: count | Type: Number</t>
      </text>
    </comment>
    <comment ref="BI4" authorId="0" shapeId="0">
      <text>
        <t>Multicast group capacity (AV multicast sizing)
Unit: - | Type: Text</t>
      </text>
    </comment>
    <comment ref="BJ4" authorId="0" shapeId="0">
      <text>
        <t>LAG groups x members
Unit: - | Type: Text</t>
      </text>
    </comment>
    <comment ref="BK4" authorId="0" shapeId="0">
      <text>
        <t>Routing capability
Unit: - | Type: Text</t>
      </text>
    </comment>
    <comment ref="BL4" authorId="0" shapeId="0">
      <text>
        <t>Yes/No
Unit: - | Type: List</t>
      </text>
    </comment>
    <comment ref="BM4" authorId="0" shapeId="0">
      <text>
        <t>Max stack members
Unit: count | Type: Number</t>
      </text>
    </comment>
    <comment ref="BN4" authorId="0" shapeId="0">
      <text>
        <t>AVB/Milan support and limits
Unit: - | Type: Text</t>
      </text>
    </comment>
    <comment ref="BO4" authorId="0" shapeId="0">
      <text>
        <t>PTP role (TC/BC/GM) and profiles
Unit: - | Type: Text</t>
      </text>
    </comment>
    <comment ref="BP4" authorId="0" shapeId="0">
      <text>
        <t>Yes/No
Unit: - | Type: List</t>
      </text>
    </comment>
    <comment ref="BQ4" authorId="0" shapeId="0">
      <text>
        <t>Yes/No
Unit: - | Type: List</t>
      </text>
    </comment>
    <comment ref="BR4" authorId="0" shapeId="0">
      <text>
        <t>Managed by NETGEAR Engage
Unit: - | Type: Text</t>
      </text>
    </comment>
    <comment ref="BS4" authorId="0" shapeId="0">
      <text>
        <t>Managed by NETGEAR Insight
Unit: - | Type: Text</t>
      </text>
    </comment>
    <comment ref="BT4" authorId="0" shapeId="0">
      <text>
        <t>Max operating ambient
Unit: C | Type: Number</t>
      </text>
    </comment>
    <comment ref="BU4" authorId="0" shapeId="0">
      <text>
        <t>Airflow direction / fanless
Unit: - | Type: Text</t>
      </text>
    </comment>
    <comment ref="BV4" authorId="0" shapeId="0">
      <text>
        <t>Fanless operation capability and limits
Unit: - | Type: Text</t>
      </text>
    </comment>
    <comment ref="BW4" authorId="0" shapeId="0">
      <text>
        <t>Lowest Quiet-mode SPL at 25C (from acoustic table)
Unit: dBA | Type: Number</t>
      </text>
    </comment>
    <comment ref="BX4" authorId="0" shapeId="0">
      <text>
        <t>MTBF at 25C
Unit: hours | Type: Number</t>
      </text>
    </comment>
    <comment ref="BY4" authorId="0" shapeId="0">
      <text>
        <t>Hardware warranty
Unit: - | Type: Text</t>
      </text>
    </comment>
    <comment ref="BZ4" authorId="0" shapeId="0">
      <text>
        <t>OnCall category / support pack family
Unit: - | Type: Text</t>
      </text>
    </comment>
    <comment ref="CA4" authorId="0" shapeId="0">
      <text>
        <t>TAA-compliant orderable variant
Unit: - | Type: Text</t>
      </text>
    </comment>
    <comment ref="CB4" authorId="0" shapeId="0">
      <text>
        <t>Bundled cloud subscription
Unit: - | Type: Text</t>
      </text>
    </comment>
    <comment ref="CC4" authorId="0" shapeId="0">
      <text>
        <t>Router: WAN ports / modes
Unit: - | Type: Text</t>
      </text>
    </comment>
    <comment ref="CD4" authorId="0" shapeId="0">
      <text>
        <t>Router: LAN-WAN throughput
Unit: - | Type: Text</t>
      </text>
    </comment>
    <comment ref="CE4" authorId="0" shapeId="0">
      <text>
        <t>Router: VPN tunnels / throughput
Unit: - | Type: Text</t>
      </text>
    </comment>
    <comment ref="CF4" authorId="0" shapeId="0">
      <text>
        <t>Router: concurrent clients
Unit: count | Type: Number</t>
      </text>
    </comment>
    <comment ref="CG4" authorId="0" shapeId="0">
      <text>
        <t>AP: WiFi generation/bands
Unit: - | Type: Text</t>
      </text>
    </comment>
    <comment ref="CH4" authorId="0" shapeId="0">
      <text>
        <t>AP: spatial streams
Unit: - | Type: Text</t>
      </text>
    </comment>
    <comment ref="CI4" authorId="0" shapeId="0">
      <text>
        <t>AP: aggregate theoretical PHY rate
Unit: Gbps | Type: Number</t>
      </text>
    </comment>
    <comment ref="CJ4" authorId="0" shapeId="0">
      <text>
        <t>AP: max SSIDs
Unit: count | Type: Number</t>
      </text>
    </comment>
    <comment ref="CK4" authorId="0" shapeId="0">
      <text>
        <t>Datasheet doc ID / version the row came from
Unit: - | Type: Text</t>
      </text>
    </comment>
    <comment ref="CL4" authorId="0" shapeId="0">
      <text>
        <t>Date row was last checked against a datasheet
Unit: date | Type: Date</t>
      </text>
    </comment>
    <comment ref="CM4" authorId="0" shapeId="0">
      <text>
        <t>Conflicts, assumptions, caveats
Unit: - | Type: Text</t>
      </text>
    </comment>
  </commentList>
</comments>
</file>

<file path=xl/tables/table1.xml><?xml version="1.0" encoding="utf-8"?>
<table xmlns="http://schemas.openxmlformats.org/spreadsheetml/2006/main" id="1" name="tblProducts" displayName="tblProducts" ref="A4:CM36" headerRowCount="1" totalsRowCount="0" totalsRowShown="0">
  <autoFilter ref="A4:CM36"/>
  <tableColumns count="91">
    <tableColumn id="1" name="Product_ID"/>
    <tableColumn id="2" name="Model_Name"/>
    <tableColumn id="3" name="Family"/>
    <tableColumn id="4" name="Product_Line"/>
    <tableColumn id="5" name="Category"/>
    <tableColumn id="6" name="Role"/>
    <tableColumn id="7" name="Management"/>
    <tableColumn id="8" name="Lifecycle_Status"/>
    <tableColumn id="9" name="List_Price_USD"/>
    <tableColumn id="10" name="Lead_Time_Wks"/>
    <tableColumn id="11" name="EOS_Date"/>
    <tableColumn id="12" name="Form_Factor"/>
    <tableColumn id="13" name="Rack_Units"/>
    <tableColumn id="14" name="Width_Class"/>
    <tableColumn id="15" name="Width_mm"/>
    <tableColumn id="16" name="Depth_mm"/>
    <tableColumn id="17" name="Height_mm"/>
    <tableColumn id="18" name="Weight_kg"/>
    <tableColumn id="19" name="Ports_1G_RJ45"/>
    <tableColumn id="20" name="Ports_2.5G_RJ45"/>
    <tableColumn id="21" name="Ports_10G_RJ45"/>
    <tableColumn id="22" name="Ports_SFP_1G"/>
    <tableColumn id="23" name="Ports_SFP_2.5G"/>
    <tableColumn id="24" name="Ports_SFP+_10G"/>
    <tableColumn id="25" name="Ports_SFP28_25G"/>
    <tableColumn id="26" name="Ports_QSFP28_100G"/>
    <tableColumn id="27" name="Ports_5G_RJ45"/>
    <tableColumn id="28" name="Ports_SFP56_50G"/>
    <tableColumn id="29" name="Ports_QSFP56_200G"/>
    <tableColumn id="30" name="Ports_QSFPDD_400G"/>
    <tableColumn id="31" name="Ports_Combo_10G"/>
    <tableColumn id="32" name="Total_Ports"/>
    <tableColumn id="33" name="Max_1G_SFP_Modules"/>
    <tableColumn id="34" name="Port_Speed_Constraints"/>
    <tableColumn id="35" name="PoE_Ports"/>
    <tableColumn id="36" name="PoE_Standard"/>
    <tableColumn id="37" name="PoE_Max_W_per_Port"/>
    <tableColumn id="38" name="PoE_Budget_Base_W"/>
    <tableColumn id="39" name="PoE_Budget_Max_W"/>
    <tableColumn id="40" name="PoE_Budget_Redundant_Max_W"/>
    <tableColumn id="41" name="PoE_Avg_W_per_Port_at_Max"/>
    <tableColumn id="42" name="PD_Max_Draw_W"/>
    <tableColumn id="43" name="PD_Required_PoE"/>
    <tableColumn id="44" name="PD_Uplink_Speed"/>
    <tableColumn id="45" name="PSU_Type"/>
    <tableColumn id="46" name="PSU_Internal_W"/>
    <tableColumn id="47" name="PSU_Fixed_Qty"/>
    <tableColumn id="48" name="PSU_Modular_Slots"/>
    <tableColumn id="49" name="PSU_Compat_Group"/>
    <tableColumn id="50" name="Power_Idle_W"/>
    <tableColumn id="51" name="Power_Max_NoPoE_W"/>
    <tableColumn id="52" name="Power_Max_FullPoE_W"/>
    <tableColumn id="53" name="Heat_Max_BTU_hr"/>
    <tableColumn id="54" name="Switching_Fabric_Gbps"/>
    <tableColumn id="55" name="Throughput_Mpps"/>
    <tableColumn id="56" name="Packet_Buffer_Mb"/>
    <tableColumn id="57" name="RAM_GB"/>
    <tableColumn id="58" name="CPU"/>
    <tableColumn id="59" name="MAC_Table"/>
    <tableColumn id="60" name="Max_VLANs"/>
    <tableColumn id="61" name="IGMP_Groups"/>
    <tableColumn id="62" name="Max_LAGs"/>
    <tableColumn id="63" name="L3_Feature_Set"/>
    <tableColumn id="64" name="Stacking"/>
    <tableColumn id="65" name="Stack_Max_Units"/>
    <tableColumn id="66" name="AVB"/>
    <tableColumn id="67" name="PTP"/>
    <tableColumn id="68" name="SMPTE_ST2110"/>
    <tableColumn id="69" name="IGMP_Plus"/>
    <tableColumn id="70" name="Engage_Support"/>
    <tableColumn id="71" name="Insight_Support"/>
    <tableColumn id="72" name="OpTemp_Max_C"/>
    <tableColumn id="73" name="Airflow"/>
    <tableColumn id="74" name="Fan_Off_Mode"/>
    <tableColumn id="75" name="Acoustic_Quiet_25C_dBA"/>
    <tableColumn id="76" name="MTBF_25C_hours"/>
    <tableColumn id="77" name="Warranty"/>
    <tableColumn id="78" name="Support_Category"/>
    <tableColumn id="79" name="TAA_SKU"/>
    <tableColumn id="80" name="Included_Subscription"/>
    <tableColumn id="81" name="WAN_Ports"/>
    <tableColumn id="82" name="WAN_Throughput"/>
    <tableColumn id="83" name="VPN_Capacity"/>
    <tableColumn id="84" name="Max_Clients"/>
    <tableColumn id="85" name="WiFi_Standard"/>
    <tableColumn id="86" name="WiFi_Streams"/>
    <tableColumn id="87" name="WiFi_Max_Gbps"/>
    <tableColumn id="88" name="SSIDs"/>
    <tableColumn id="89" name="Source_Datasheet"/>
    <tableColumn id="90" name="Last_Verified"/>
    <tableColumn id="91" name="Data_Notes"/>
  </tableColumns>
</table>
</file>

<file path=xl/tables/table2.xml><?xml version="1.0" encoding="utf-8"?>
<table xmlns="http://schemas.openxmlformats.org/spreadsheetml/2006/main" id="2" name="tblSKUs" displayName="tblSKUs" ref="A4:G141" headerRowCount="1" totalsRowCount="0" totalsRowShown="0">
  <autoFilter ref="A4:G141"/>
  <tableColumns count="7">
    <tableColumn id="1" name="Product_ID"/>
    <tableColumn id="2" name="Model_Name"/>
    <tableColumn id="3" name="Orderable_SKU"/>
    <tableColumn id="4" name="Region"/>
    <tableColumn id="5" name="Power_Cord"/>
    <tableColumn id="6" name="TAA_Compliant"/>
    <tableColumn id="7" name="Notes"/>
  </tableColumns>
</table>
</file>

<file path=xl/tables/table3.xml><?xml version="1.0" encoding="utf-8"?>
<table xmlns="http://schemas.openxmlformats.org/spreadsheetml/2006/main" id="3" name="tblAccessories" displayName="tblAccessories" ref="A4:Q105" headerRowCount="1" totalsRowCount="0" totalsRowShown="0">
  <autoFilter ref="A4:Q105"/>
  <tableColumns count="17">
    <tableColumn id="1" name="Orderable_SKU"/>
    <tableColumn id="2" name="Base_Model"/>
    <tableColumn id="3" name="Category"/>
    <tableColumn id="4" name="Description"/>
    <tableColumn id="5" name="Form_Factor"/>
    <tableColumn id="6" name="Speed_Gbps"/>
    <tableColumn id="7" name="Media"/>
    <tableColumn id="8" name="Connector"/>
    <tableColumn id="9" name="Reach_m"/>
    <tableColumn id="10" name="Fiber_Notes"/>
    <tableColumn id="11" name="Output_W_110VAC"/>
    <tableColumn id="12" name="Output_W_220VAC"/>
    <tableColumn id="13" name="Power_Cord"/>
    <tableColumn id="14" name="Term_Months"/>
    <tableColumn id="15" name="Warranty"/>
    <tableColumn id="16" name="Source"/>
    <tableColumn id="17" name="Notes"/>
  </tableColumns>
</table>
</file>

<file path=xl/tables/table4.xml><?xml version="1.0" encoding="utf-8"?>
<table xmlns="http://schemas.openxmlformats.org/spreadsheetml/2006/main" id="4" name="tblCompat" displayName="tblCompat" ref="A4:G133" headerRowCount="1" totalsRowCount="0" totalsRowShown="0">
  <autoFilter ref="A4:G133"/>
  <tableColumns count="7">
    <tableColumn id="1" name="Scope_Type"/>
    <tableColumn id="2" name="Scope_Value"/>
    <tableColumn id="3" name="Port_or_Slot"/>
    <tableColumn id="4" name="Accessory_Base"/>
    <tableColumn id="5" name="Relationship"/>
    <tableColumn id="6" name="Max_Qty"/>
    <tableColumn id="7" name="Constraint_Notes"/>
  </tableColumns>
</table>
</file>

<file path=xl/tables/table5.xml><?xml version="1.0" encoding="utf-8"?>
<table xmlns="http://schemas.openxmlformats.org/spreadsheetml/2006/main" id="5" name="tblPSUMatrix" displayName="tblPSUMatrix" ref="A4:L105" headerRowCount="1" totalsRowCount="0" totalsRowShown="0">
  <autoFilter ref="A4:L105"/>
  <tableColumns count="12">
    <tableColumn id="1" name="Product_ID"/>
    <tableColumn id="2" name="Model_Name"/>
    <tableColumn id="3" name="Internal_PSU"/>
    <tableColumn id="4" name="PSU_Module"/>
    <tableColumn id="5" name="Module_Qty"/>
    <tableColumn id="6" name="Input_Voltage"/>
    <tableColumn id="7" name="PoE_Budget_EPS_W"/>
    <tableColumn id="8" name="PoE_If_Internal_PSU_Fails_W"/>
    <tableColumn id="9" name="PoE_If_One_Module_Fails_W"/>
    <tableColumn id="10" name="PoE_Budget_Protected_W"/>
    <tableColumn id="11" name="Config_Label"/>
    <tableColumn id="12" name="Notes"/>
  </tableColumns>
</table>
</file>

<file path=xl/tables/table6.xml><?xml version="1.0" encoding="utf-8"?>
<table xmlns="http://schemas.openxmlformats.org/spreadsheetml/2006/main" id="6" name="tblRules" displayName="tblRules" ref="A4:F21" headerRowCount="1" totalsRowCount="0" totalsRowShown="0">
  <autoFilter ref="A4:F21"/>
  <tableColumns count="6">
    <tableColumn id="1" name="Rule_ID"/>
    <tableColumn id="2" name="Applies_To"/>
    <tableColumn id="3" name="Area"/>
    <tableColumn id="4" name="Rule"/>
    <tableColumn id="5" name="BoM_Impact"/>
    <tableColumn id="6" name="Source"/>
  </tableColumns>
</table>
</file>

<file path=xl/tables/table7.xml><?xml version="1.0" encoding="utf-8"?>
<table xmlns="http://schemas.openxmlformats.org/spreadsheetml/2006/main" id="7" name="tblEndpoints" displayName="tblEndpoints" ref="A4:J18" headerRowCount="1" totalsRowCount="0" totalsRowShown="0">
  <autoFilter ref="A4:J18"/>
  <tableColumns count="10">
    <tableColumn id="1" name="Endpoint_ID"/>
    <tableColumn id="2" name="Name"/>
    <tableColumn id="3" name="Category"/>
    <tableColumn id="4" name="Link_Speed_Gbps"/>
    <tableColumn id="5" name="Media"/>
    <tableColumn id="6" name="PoE_W"/>
    <tableColumn id="7" name="Stream_Mbps"/>
    <tableColumn id="8" name="NETGEAR_Product_ID"/>
    <tableColumn id="9" name="Notes"/>
    <tableColumn id="10" name="Timing"/>
  </tableColumns>
</table>
</file>

<file path=xl/tables/table8.xml><?xml version="1.0" encoding="utf-8"?>
<table xmlns="http://schemas.openxmlformats.org/spreadsheetml/2006/main" id="8" name="tblPortTypes" displayName="tblPortTypes" ref="A4:K17" headerRowCount="1" totalsRowCount="0" totalsRowShown="0">
  <autoFilter ref="A4:K17"/>
  <tableColumns count="11">
    <tableColumn id="1" name="Column_Name"/>
    <tableColumn id="2" name="Port_Type"/>
    <tableColumn id="3" name="Media"/>
    <tableColumn id="4" name="Cage"/>
    <tableColumn id="5" name="Max_Speed_Gbps"/>
    <tableColumn id="6" name="Supported_Speeds_Gbps"/>
    <tableColumn id="7" name="Endpoint_Capable"/>
    <tableColumn id="8" name="Uplink_Capable"/>
    <tableColumn id="9" name="PoE_Capable"/>
    <tableColumn id="10" name="Breakout"/>
    <tableColumn id="11" name="Notes"/>
  </tableColumns>
</table>
</file>

<file path=xl/tables/table9.xml><?xml version="1.0" encoding="utf-8"?>
<table xmlns="http://schemas.openxmlformats.org/spreadsheetml/2006/main" id="9" name="tblSettings" displayName="tblSettings" ref="A4:C18" headerRowCount="1" totalsRowCount="0" totalsRowShown="0">
  <autoFilter ref="A4:C17"/>
  <tableColumns count="3">
    <tableColumn id="1" name="Key"/>
    <tableColumn id="2" name="Value"/>
    <tableColumn id="3" name="Notes"/>
  </tableColumns>
</table>
</file>

<file path=xl/tables/table10.xml><?xml version="1.0" encoding="utf-8"?>
<table xmlns="http://schemas.openxmlformats.org/spreadsheetml/2006/main" id="10" name="tblDictionary" displayName="tblDictionary" ref="A4:F114" headerRowCount="1" totalsRowCount="0" totalsRowShown="0">
  <autoFilter ref="A4:F113"/>
  <tableColumns count="6">
    <tableColumn id="1" name="Sheet"/>
    <tableColumn id="2" name="Column"/>
    <tableColumn id="3" name="Group"/>
    <tableColumn id="4" name="Unit"/>
    <tableColumn id="5" name="Type"/>
    <tableColumn id="6" name="Description"/>
  </tableColumns>
</table>
</file>

<file path=xl/tables/table11.xml><?xml version="1.0" encoding="utf-8"?>
<table xmlns="http://schemas.openxmlformats.org/spreadsheetml/2006/main" id="11" name="tblGaps" displayName="tblGaps" ref="A4:C18" headerRowCount="1" totalsRowCount="0" totalsRowShown="0">
  <autoFilter ref="A4:C18"/>
  <tableColumns count="3">
    <tableColumn id="1" name="Area"/>
    <tableColumn id="2" name="Issue"/>
    <tableColumn id="3" name="Action / Assumption Us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8" min="1" max="1"/>
    <col width="120" customWidth="1" style="28" min="2" max="2"/>
  </cols>
  <sheetData>
    <row r="1" ht="30" customHeight="1" s="29">
      <c r="A1" s="30" t="inlineStr">
        <is>
          <t>NETGEAR BoM Catalog — Read Me</t>
        </is>
      </c>
    </row>
    <row r="2" ht="15" customHeight="1" s="29">
      <c r="A2" s="31" t="inlineStr">
        <is>
          <t>Built from 5 datasheets (M4250, M4350, PR460X, WBE718, WBE758). Font: Outfit (install from fonts.google.com/specimen/Outfit if it doesn't render).</t>
        </is>
      </c>
    </row>
    <row r="4" ht="23.85" customHeight="1" s="29">
      <c r="A4" s="32" t="inlineStr">
        <is>
          <t>Purpose</t>
        </is>
      </c>
      <c r="B4" s="33" t="inlineStr">
        <is>
          <t>Single source of product data for the Network BOM Builder: the tool reads these tables to pick switches, PSUs, optics and support SKUs from IDF/MDF, endpoint and redundancy inputs.</t>
        </is>
      </c>
    </row>
    <row r="5" ht="15" customHeight="1" s="29">
      <c r="A5" s="34" t="n"/>
      <c r="B5" s="33" t="n"/>
    </row>
    <row r="6" ht="15" customHeight="1" s="29">
      <c r="A6" s="35" t="inlineStr">
        <is>
          <t>Sheet</t>
        </is>
      </c>
      <c r="B6" s="36" t="inlineStr">
        <is>
          <t>What it holds</t>
        </is>
      </c>
    </row>
    <row r="7" ht="15" customHeight="1" s="29">
      <c r="A7" s="32" t="inlineStr">
        <is>
          <t>Products</t>
        </is>
      </c>
      <c r="B7" s="33" t="inlineStr">
        <is>
          <t>One row per base model. Physical, ports, PoE, power, performance, AV features, environment, commercial. Key = Product_ID.</t>
        </is>
      </c>
    </row>
    <row r="8" ht="15" customHeight="1" s="29">
      <c r="A8" s="32" t="inlineStr">
        <is>
          <t>SKUs</t>
        </is>
      </c>
      <c r="B8" s="33" t="inlineStr">
        <is>
          <t>Every orderable variant (region, TAA). Many-to-one with Products.</t>
        </is>
      </c>
    </row>
    <row r="9" ht="15" customHeight="1" s="29">
      <c r="A9" s="32" t="inlineStr">
        <is>
          <t>Accessories</t>
        </is>
      </c>
      <c r="B9" s="33" t="inlineStr">
        <is>
          <t>PSUs, adapters, optics, DACs/AOCs, trays, licenses, support packs. Key = Orderable_SKU, grouped by Base_Model.</t>
        </is>
      </c>
    </row>
    <row r="10" ht="15" customHeight="1" s="29">
      <c r="A10" s="32" t="inlineStr">
        <is>
          <t>Compatibility</t>
        </is>
      </c>
      <c r="B10" s="33" t="inlineStr">
        <is>
          <t>Which accessories fit which product or family, with slot/port type and max qty.</t>
        </is>
      </c>
    </row>
    <row r="11" ht="15" customHeight="1" s="29">
      <c r="A11" s="32" t="inlineStr">
        <is>
          <t>PSU_PoE_Matrix</t>
        </is>
      </c>
      <c r="B11" s="33" t="inlineStr">
        <is>
          <t>Exact PoE budget for every PSU combination (EPS total + protected/RPS). Use this rather than a single 'max' number.</t>
        </is>
      </c>
    </row>
    <row r="12" ht="15" customHeight="1" s="29">
      <c r="A12" s="32" t="inlineStr">
        <is>
          <t>Design_Rules</t>
        </is>
      </c>
      <c r="B12" s="33" t="inlineStr">
        <is>
          <t>Footnote-level constraints the engine must enforce (25G block speed, stacking vs AVB/PTP, PoE classes, Insight vs Engage...).</t>
        </is>
      </c>
    </row>
    <row r="13" ht="15" customHeight="1" s="29">
      <c r="A13" s="32" t="inlineStr">
        <is>
          <t>Model_Lookup</t>
        </is>
      </c>
      <c r="B13" s="33" t="inlineStr">
        <is>
          <t>Example of formula-driven lookups against the tables.</t>
        </is>
      </c>
    </row>
    <row r="14" ht="15" customHeight="1" s="29">
      <c r="A14" s="32" t="inlineStr">
        <is>
          <t>Data_Dictionary</t>
        </is>
      </c>
      <c r="B14" s="33" t="inlineStr">
        <is>
          <t>Every column with unit/type, plus recommended future fields.</t>
        </is>
      </c>
    </row>
    <row r="15" ht="15" customHeight="1" s="29">
      <c r="A15" s="32" t="inlineStr">
        <is>
          <t>Data_Gaps</t>
        </is>
      </c>
      <c r="B15" s="33" t="inlineStr">
        <is>
          <t>Datasheet conflicts and missing data, with the assumption loaded.</t>
        </is>
      </c>
    </row>
    <row r="16" ht="15" customHeight="1" s="29">
      <c r="A16" s="32" t="inlineStr">
        <is>
          <t>Endpoints</t>
        </is>
      </c>
      <c r="B16" s="33" t="inlineStr">
        <is>
          <t>Endpoint library the BoM tool loads: link speed, media, PoE allocation, stream Mbps.</t>
        </is>
      </c>
    </row>
    <row r="17" ht="15" customHeight="1" s="29">
      <c r="A17" s="32" t="inlineStr">
        <is>
          <t>Port_Types</t>
        </is>
      </c>
      <c r="B17" s="33" t="inlineStr">
        <is>
          <t>Defines every Ports_* column (media, supported speeds, uplink/PoE capable). Add a row for any new speed.</t>
        </is>
      </c>
    </row>
    <row r="18" ht="15" customHeight="1" s="29">
      <c r="A18" s="32" t="inlineStr">
        <is>
          <t>Tool_Settings</t>
        </is>
      </c>
      <c r="B18" s="33" t="inlineStr">
        <is>
          <t>Disclaimer, contact, gateway, support SKU pattern and defaults used by the tool.</t>
        </is>
      </c>
    </row>
    <row r="19" ht="15" customHeight="1" s="29">
      <c r="A19" s="32" t="inlineStr">
        <is>
          <t>Lists</t>
        </is>
      </c>
      <c r="B19" s="33" t="inlineStr">
        <is>
          <t>Dropdown values used for data validation.</t>
        </is>
      </c>
    </row>
    <row r="20" ht="15" customHeight="1" s="29">
      <c r="A20" s="34" t="n"/>
      <c r="B20" s="33" t="n"/>
    </row>
    <row r="21" ht="15" customHeight="1" s="29">
      <c r="A21" s="35" t="inlineStr">
        <is>
          <t>How to add a new switch</t>
        </is>
      </c>
      <c r="B21" s="37" t="n"/>
    </row>
    <row r="22" ht="23.85" customHeight="1" s="29">
      <c r="A22" s="32" t="inlineStr">
        <is>
          <t>1</t>
        </is>
      </c>
      <c r="B22" s="33" t="inlineStr">
        <is>
          <t>Products: type in the first empty row directly under the table - it auto-expands. Fill at minimum Product_ID, Model_Name, Family, Category, Status, port counts, PoE and PSU fields, Source_Datasheet.</t>
        </is>
      </c>
    </row>
    <row r="23" ht="15" customHeight="1" s="29">
      <c r="A23" s="32" t="inlineStr">
        <is>
          <t>2</t>
        </is>
      </c>
      <c r="B23" s="33" t="inlineStr">
        <is>
          <t>Grey columns are formulas; if Excel doesn't auto-fill them, copy the formula from the row above.</t>
        </is>
      </c>
    </row>
    <row r="24" ht="15" customHeight="1" s="29">
      <c r="A24" s="32" t="inlineStr">
        <is>
          <t>3</t>
        </is>
      </c>
      <c r="B24" s="33" t="inlineStr">
        <is>
          <t>SKUs: add one row per regional/TAA orderable SKU.</t>
        </is>
      </c>
    </row>
    <row r="25" ht="23.85" customHeight="1" s="29">
      <c r="A25" s="32" t="inlineStr">
        <is>
          <t>4</t>
        </is>
      </c>
      <c r="B25" s="33" t="inlineStr">
        <is>
          <t>Accessories: add any new PSU/optic/support SKU. Compatibility: add Product- or Family-scoped rows (a Family row covers all its models).</t>
        </is>
      </c>
    </row>
    <row r="26" ht="15" customHeight="1" s="29">
      <c r="A26" s="32" t="inlineStr">
        <is>
          <t>4b</t>
        </is>
      </c>
      <c r="B26" s="33" t="inlineStr">
        <is>
          <t>New port speed (e.g. 50G): add a Ports_ column in Products next to the others and a matching row in Port_Types.</t>
        </is>
      </c>
    </row>
    <row r="27" ht="15" customHeight="1" s="29">
      <c r="A27" s="32" t="inlineStr">
        <is>
          <t>5</t>
        </is>
      </c>
      <c r="B27" s="33" t="inlineStr">
        <is>
          <t>If the switch has modular PSUs, add its combinations to PSU_PoE_Matrix. Add any footnote constraint to Design_Rules.</t>
        </is>
      </c>
    </row>
    <row r="28" ht="15" customHeight="1" s="29">
      <c r="A28" s="32" t="inlineStr">
        <is>
          <t>6</t>
        </is>
      </c>
      <c r="B28" s="33" t="inlineStr">
        <is>
          <t>Log conflicts in Data_Gaps and set Last_Verified.</t>
        </is>
      </c>
    </row>
    <row r="29" ht="15" customHeight="1" s="29">
      <c r="A29" s="34" t="n"/>
      <c r="B29" s="33" t="n"/>
    </row>
    <row r="30" ht="23.85" customHeight="1" s="29">
      <c r="A30" s="32" t="inlineStr">
        <is>
          <t>Conventions</t>
        </is>
      </c>
      <c r="B30" s="33" t="inlineStr">
        <is>
          <t>Units are in the column header (W, mm, kg, Gbps). Numbers stored as numbers; blank = not applicable / not stated. Never overwrite a datasheet value with an estimate - use Data_Notes.</t>
        </is>
      </c>
    </row>
    <row r="31" ht="15" customHeight="1" s="29">
      <c r="A31" s="32" t="inlineStr">
        <is>
          <t>Legend</t>
        </is>
      </c>
      <c r="B31" s="33" t="inlineStr">
        <is>
          <t>Grey fill = calculated · Yellow fill = to be filled from price book / PLM · Blue text = user input in Model_Lookup</t>
        </is>
      </c>
    </row>
    <row r="32" ht="23.85" customHeight="1" s="29">
      <c r="A32" s="32" t="inlineStr">
        <is>
          <t>Sources</t>
        </is>
      </c>
      <c r="B32" s="33" t="inlineStr">
        <is>
          <t>M4250: DS-M4250-9Nov23 · M4350: DS-M4350-30May25 (uploaded as 'M3450_Datasheet_30May25.pdf') · PR460X: NG_DS_AV_PR460X-042926 · WBE718: DS-WBE718_02Apr26 · WBE758: D-WBE758_29Jan24 · 25G/100G optics &amp; DACs: optic.ca, NETGEAR KB 000066694 (updated 2025-09-23)</t>
        </is>
      </c>
    </row>
    <row r="34" ht="15" customHeight="1" s="29">
      <c r="A34" s="38" t="inlineStr">
        <is>
          <t>Catalog counts</t>
        </is>
      </c>
    </row>
    <row r="35" ht="15" customHeight="1" s="29">
      <c r="A35" s="39" t="inlineStr">
        <is>
          <t>Products</t>
        </is>
      </c>
      <c r="B35" s="40">
        <f>COUNTA(Products!A5:A1000)</f>
        <v/>
      </c>
    </row>
    <row r="36" ht="15" customHeight="1" s="29">
      <c r="A36" s="39" t="inlineStr">
        <is>
          <t>Orderable SKUs</t>
        </is>
      </c>
      <c r="B36" s="40">
        <f>COUNTA(SKUs!C5:C2000)</f>
        <v/>
      </c>
    </row>
    <row r="37" ht="15" customHeight="1" s="29">
      <c r="A37" s="39" t="inlineStr">
        <is>
          <t>Accessory SKUs</t>
        </is>
      </c>
      <c r="B37" s="40">
        <f>COUNTA(Accessories!A5:A2000)</f>
        <v/>
      </c>
    </row>
    <row r="38" ht="15" customHeight="1" s="29">
      <c r="A38" s="39" t="inlineStr">
        <is>
          <t>PSU configs</t>
        </is>
      </c>
      <c r="B38" s="40">
        <f>COUNTA(PSU_PoE_Matrix!A5:A2000)</f>
        <v/>
      </c>
    </row>
    <row r="39" ht="15" customHeight="1" s="29">
      <c r="A39" s="39" t="inlineStr">
        <is>
          <t>Open gaps</t>
        </is>
      </c>
      <c r="B39" s="40">
        <f>COUNTA(Data_Gaps!A5:A500)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M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20" customWidth="1" style="28" min="2" max="2"/>
    <col width="9" customWidth="1" style="28" min="3" max="3"/>
    <col width="15" customWidth="1" style="28" min="4" max="4"/>
    <col width="10" customWidth="1" style="28" min="5" max="5"/>
    <col width="14" customWidth="1" style="28" min="6" max="6"/>
    <col width="18" customWidth="1" style="28" min="7" max="7"/>
    <col width="10" customWidth="1" style="28" min="8" max="8"/>
    <col width="11" customWidth="1" style="28" min="9" max="9"/>
    <col width="9" customWidth="1" style="28" min="10" max="10"/>
    <col width="10" customWidth="1" style="28" min="11" max="11"/>
    <col width="11" customWidth="1" style="28" min="12" max="12"/>
    <col width="7" customWidth="1" style="28" min="13" max="13"/>
    <col width="11" customWidth="1" style="28" min="14" max="14"/>
    <col width="8" customWidth="1" style="28" min="15" max="33"/>
    <col width="30" customWidth="1" style="28" min="34" max="34"/>
    <col width="8" customWidth="1" style="28" min="35" max="35"/>
    <col width="14" customWidth="1" style="28" min="36" max="36"/>
    <col width="8" customWidth="1" style="28" min="37" max="37"/>
    <col width="9" customWidth="1" style="28" min="38" max="39"/>
    <col width="10" customWidth="1" style="28" min="40" max="41"/>
    <col width="8" customWidth="1" style="28" min="42" max="42"/>
    <col width="20" customWidth="1" style="28" min="43" max="43"/>
    <col width="8" customWidth="1" style="28" min="44" max="44"/>
    <col width="20" customWidth="1" style="28" min="45" max="45"/>
    <col width="8" customWidth="1" style="28" min="46" max="46"/>
    <col width="7" customWidth="1" style="28" min="47" max="47"/>
    <col width="8" customWidth="1" style="28" min="48" max="48"/>
    <col width="22" customWidth="1" style="28" min="49" max="49"/>
    <col width="8" customWidth="1" style="28" min="50" max="51"/>
    <col width="9" customWidth="1" style="28" min="52" max="55"/>
    <col width="8" customWidth="1" style="28" min="56" max="56"/>
    <col width="6" customWidth="1" style="28" min="57" max="57"/>
    <col width="16" customWidth="1" style="28" min="58" max="58"/>
    <col width="8" customWidth="1" style="28" min="59" max="59"/>
    <col width="7" customWidth="1" style="28" min="60" max="60"/>
    <col width="12" customWidth="1" style="28" min="61" max="61"/>
    <col width="9" customWidth="1" style="28" min="62" max="62"/>
    <col width="24" customWidth="1" style="28" min="63" max="63"/>
    <col width="8" customWidth="1" style="28" min="64" max="64"/>
    <col width="7" customWidth="1" style="28" min="65" max="65"/>
    <col width="16" customWidth="1" style="28" min="66" max="66"/>
    <col width="22" customWidth="1" style="28" min="67" max="67"/>
    <col width="8" customWidth="1" style="28" min="68" max="68"/>
    <col width="7" customWidth="1" style="28" min="69" max="69"/>
    <col width="10" customWidth="1" style="28" min="70" max="70"/>
    <col width="8" customWidth="1" style="28" min="71" max="72"/>
    <col width="11" customWidth="1" style="28" min="73" max="73"/>
    <col width="18" customWidth="1" style="28" min="74" max="74"/>
    <col width="9" customWidth="1" style="28" min="75" max="75"/>
    <col width="10" customWidth="1" style="28" min="76" max="76"/>
    <col width="20" customWidth="1" style="28" min="77" max="77"/>
    <col width="12" customWidth="1" style="28" min="78" max="78"/>
    <col width="11" customWidth="1" style="28" min="79" max="79"/>
    <col width="14" customWidth="1" style="28" min="80" max="80"/>
    <col width="16" customWidth="1" style="28" min="81" max="81"/>
    <col width="18" customWidth="1" style="28" min="82" max="82"/>
    <col width="26" customWidth="1" style="28" min="83" max="83"/>
    <col width="8" customWidth="1" style="28" min="84" max="84"/>
    <col width="16" customWidth="1" style="28" min="85" max="85"/>
    <col width="14" customWidth="1" style="28" min="86" max="86"/>
    <col width="8" customWidth="1" style="28" min="87" max="87"/>
    <col width="6" customWidth="1" style="28" min="88" max="88"/>
    <col width="28" customWidth="1" style="28" min="89" max="89"/>
    <col width="11" customWidth="1" style="28" min="90" max="90"/>
    <col width="40" customWidth="1" style="28" min="91" max="91"/>
  </cols>
  <sheetData>
    <row r="1" ht="30" customHeight="1" s="29">
      <c r="A1" s="30" t="inlineStr">
        <is>
          <t>NETGEAR BoM Catalog — Products (one row per base model)</t>
        </is>
      </c>
    </row>
    <row r="2" ht="15" customHeight="1" s="29">
      <c r="A2" s="31" t="inlineStr">
        <is>
          <t>Grey = calculated (copy formula down for new rows) · Yellow = to fill from price book/PLM · Green band = attribute group · Key column: Product_ID</t>
        </is>
      </c>
    </row>
    <row r="3" ht="15" customHeight="1" s="29">
      <c r="A3" s="41" t="inlineStr">
        <is>
          <t>Identity</t>
        </is>
      </c>
      <c r="B3" s="41" t="n"/>
      <c r="C3" s="41" t="n"/>
      <c r="D3" s="41" t="n"/>
      <c r="E3" s="41" t="n"/>
      <c r="F3" s="41" t="n"/>
      <c r="G3" s="41" t="n"/>
      <c r="H3" s="41" t="inlineStr">
        <is>
          <t>Commercial</t>
        </is>
      </c>
      <c r="I3" s="41" t="n"/>
      <c r="J3" s="41" t="n"/>
      <c r="K3" s="41" t="n"/>
      <c r="L3" s="41" t="inlineStr">
        <is>
          <t>Physical</t>
        </is>
      </c>
      <c r="M3" s="41" t="n"/>
      <c r="N3" s="41" t="n"/>
      <c r="O3" s="41" t="n"/>
      <c r="P3" s="41" t="n"/>
      <c r="Q3" s="41" t="n"/>
      <c r="R3" s="41" t="n"/>
      <c r="S3" s="41" t="inlineStr">
        <is>
          <t>Ports</t>
        </is>
      </c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inlineStr">
        <is>
          <t>PoE (PSE)</t>
        </is>
      </c>
      <c r="AJ3" s="41" t="n"/>
      <c r="AK3" s="41" t="n"/>
      <c r="AL3" s="41" t="n"/>
      <c r="AM3" s="41" t="n"/>
      <c r="AN3" s="41" t="n"/>
      <c r="AO3" s="41" t="n"/>
      <c r="AP3" s="41" t="inlineStr">
        <is>
          <t>PoE (PD)</t>
        </is>
      </c>
      <c r="AQ3" s="41" t="n"/>
      <c r="AR3" s="41" t="n"/>
      <c r="AS3" s="41" t="inlineStr">
        <is>
          <t>Power</t>
        </is>
      </c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inlineStr">
        <is>
          <t>Performance</t>
        </is>
      </c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inlineStr">
        <is>
          <t>Features</t>
        </is>
      </c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inlineStr">
        <is>
          <t>Environment</t>
        </is>
      </c>
      <c r="BU3" s="41" t="n"/>
      <c r="BV3" s="41" t="n"/>
      <c r="BW3" s="41" t="n"/>
      <c r="BX3" s="41" t="n"/>
      <c r="BY3" s="41" t="inlineStr">
        <is>
          <t>Commercial</t>
        </is>
      </c>
      <c r="BZ3" s="41" t="n"/>
      <c r="CA3" s="41" t="n"/>
      <c r="CB3" s="41" t="n"/>
      <c r="CC3" s="41" t="inlineStr">
        <is>
          <t>Router</t>
        </is>
      </c>
      <c r="CD3" s="41" t="n"/>
      <c r="CE3" s="41" t="n"/>
      <c r="CF3" s="41" t="n"/>
      <c r="CG3" s="41" t="inlineStr">
        <is>
          <t>Wireless</t>
        </is>
      </c>
      <c r="CH3" s="41" t="n"/>
      <c r="CI3" s="41" t="n"/>
      <c r="CJ3" s="41" t="n"/>
      <c r="CK3" s="41" t="inlineStr">
        <is>
          <t>Governance</t>
        </is>
      </c>
      <c r="CL3" s="41" t="n"/>
      <c r="CM3" s="41" t="n"/>
    </row>
    <row r="4" ht="31.5" customHeight="1" s="29">
      <c r="A4" s="42" t="inlineStr">
        <is>
          <t>Product_ID</t>
        </is>
      </c>
      <c r="B4" s="42" t="inlineStr">
        <is>
          <t>Model_Name</t>
        </is>
      </c>
      <c r="C4" s="42" t="inlineStr">
        <is>
          <t>Family</t>
        </is>
      </c>
      <c r="D4" s="42" t="inlineStr">
        <is>
          <t>Product_Line</t>
        </is>
      </c>
      <c r="E4" s="42" t="inlineStr">
        <is>
          <t>Category</t>
        </is>
      </c>
      <c r="F4" s="42" t="inlineStr">
        <is>
          <t>Role</t>
        </is>
      </c>
      <c r="G4" s="42" t="inlineStr">
        <is>
          <t>Management</t>
        </is>
      </c>
      <c r="H4" s="42" t="inlineStr">
        <is>
          <t>Lifecycle_Status</t>
        </is>
      </c>
      <c r="I4" s="42" t="inlineStr">
        <is>
          <t>List_Price_USD</t>
        </is>
      </c>
      <c r="J4" s="42" t="inlineStr">
        <is>
          <t>Lead_Time_Wks</t>
        </is>
      </c>
      <c r="K4" s="42" t="inlineStr">
        <is>
          <t>EOS_Date</t>
        </is>
      </c>
      <c r="L4" s="42" t="inlineStr">
        <is>
          <t>Form_Factor</t>
        </is>
      </c>
      <c r="M4" s="42" t="inlineStr">
        <is>
          <t>Rack_Units</t>
        </is>
      </c>
      <c r="N4" s="42" t="inlineStr">
        <is>
          <t>Width_Class</t>
        </is>
      </c>
      <c r="O4" s="42" t="inlineStr">
        <is>
          <t>Width_mm</t>
        </is>
      </c>
      <c r="P4" s="42" t="inlineStr">
        <is>
          <t>Depth_mm</t>
        </is>
      </c>
      <c r="Q4" s="42" t="inlineStr">
        <is>
          <t>Height_mm</t>
        </is>
      </c>
      <c r="R4" s="42" t="inlineStr">
        <is>
          <t>Weight_kg</t>
        </is>
      </c>
      <c r="S4" s="42" t="inlineStr">
        <is>
          <t>Ports_1G_RJ45</t>
        </is>
      </c>
      <c r="T4" s="42" t="inlineStr">
        <is>
          <t>Ports_2.5G_RJ45</t>
        </is>
      </c>
      <c r="U4" s="42" t="inlineStr">
        <is>
          <t>Ports_10G_RJ45</t>
        </is>
      </c>
      <c r="V4" s="42" t="inlineStr">
        <is>
          <t>Ports_SFP_1G</t>
        </is>
      </c>
      <c r="W4" s="42" t="inlineStr">
        <is>
          <t>Ports_SFP_2.5G</t>
        </is>
      </c>
      <c r="X4" s="42" t="inlineStr">
        <is>
          <t>Ports_SFP+_10G</t>
        </is>
      </c>
      <c r="Y4" s="42" t="inlineStr">
        <is>
          <t>Ports_SFP28_25G</t>
        </is>
      </c>
      <c r="Z4" s="42" t="inlineStr">
        <is>
          <t>Ports_QSFP28_100G</t>
        </is>
      </c>
      <c r="AA4" s="42" t="inlineStr">
        <is>
          <t>Ports_5G_RJ45</t>
        </is>
      </c>
      <c r="AB4" s="42" t="inlineStr">
        <is>
          <t>Ports_SFP56_50G</t>
        </is>
      </c>
      <c r="AC4" s="42" t="inlineStr">
        <is>
          <t>Ports_QSFP56_200G</t>
        </is>
      </c>
      <c r="AD4" s="42" t="inlineStr">
        <is>
          <t>Ports_QSFPDD_400G</t>
        </is>
      </c>
      <c r="AE4" s="42" t="inlineStr">
        <is>
          <t>Ports_Combo_10G</t>
        </is>
      </c>
      <c r="AF4" s="42" t="inlineStr">
        <is>
          <t>Total_Ports</t>
        </is>
      </c>
      <c r="AG4" s="42" t="inlineStr">
        <is>
          <t>Max_1G_SFP_Modules</t>
        </is>
      </c>
      <c r="AH4" s="42" t="inlineStr">
        <is>
          <t>Port_Speed_Constraints</t>
        </is>
      </c>
      <c r="AI4" s="42" t="inlineStr">
        <is>
          <t>PoE_Ports</t>
        </is>
      </c>
      <c r="AJ4" s="42" t="inlineStr">
        <is>
          <t>PoE_Standard</t>
        </is>
      </c>
      <c r="AK4" s="42" t="inlineStr">
        <is>
          <t>PoE_Max_W_per_Port</t>
        </is>
      </c>
      <c r="AL4" s="42" t="inlineStr">
        <is>
          <t>PoE_Budget_Base_W</t>
        </is>
      </c>
      <c r="AM4" s="42" t="inlineStr">
        <is>
          <t>PoE_Budget_Max_W</t>
        </is>
      </c>
      <c r="AN4" s="42" t="inlineStr">
        <is>
          <t>PoE_Budget_Redundant_Max_W</t>
        </is>
      </c>
      <c r="AO4" s="42" t="inlineStr">
        <is>
          <t>PoE_Avg_W_per_Port_at_Max</t>
        </is>
      </c>
      <c r="AP4" s="42" t="inlineStr">
        <is>
          <t>PD_Max_Draw_W</t>
        </is>
      </c>
      <c r="AQ4" s="42" t="inlineStr">
        <is>
          <t>PD_Required_PoE</t>
        </is>
      </c>
      <c r="AR4" s="42" t="inlineStr">
        <is>
          <t>PD_Uplink_Speed</t>
        </is>
      </c>
      <c r="AS4" s="42" t="inlineStr">
        <is>
          <t>PSU_Type</t>
        </is>
      </c>
      <c r="AT4" s="42" t="inlineStr">
        <is>
          <t>PSU_Internal_W</t>
        </is>
      </c>
      <c r="AU4" s="42" t="inlineStr">
        <is>
          <t>PSU_Fixed_Qty</t>
        </is>
      </c>
      <c r="AV4" s="42" t="inlineStr">
        <is>
          <t>PSU_Modular_Slots</t>
        </is>
      </c>
      <c r="AW4" s="42" t="inlineStr">
        <is>
          <t>PSU_Compat_Group</t>
        </is>
      </c>
      <c r="AX4" s="42" t="inlineStr">
        <is>
          <t>Power_Idle_W</t>
        </is>
      </c>
      <c r="AY4" s="42" t="inlineStr">
        <is>
          <t>Power_Max_NoPoE_W</t>
        </is>
      </c>
      <c r="AZ4" s="42" t="inlineStr">
        <is>
          <t>Power_Max_FullPoE_W</t>
        </is>
      </c>
      <c r="BA4" s="42" t="inlineStr">
        <is>
          <t>Heat_Max_BTU_hr</t>
        </is>
      </c>
      <c r="BB4" s="42" t="inlineStr">
        <is>
          <t>Switching_Fabric_Gbps</t>
        </is>
      </c>
      <c r="BC4" s="42" t="inlineStr">
        <is>
          <t>Throughput_Mpps</t>
        </is>
      </c>
      <c r="BD4" s="42" t="inlineStr">
        <is>
          <t>Packet_Buffer_Mb</t>
        </is>
      </c>
      <c r="BE4" s="42" t="inlineStr">
        <is>
          <t>RAM_GB</t>
        </is>
      </c>
      <c r="BF4" s="42" t="inlineStr">
        <is>
          <t>CPU</t>
        </is>
      </c>
      <c r="BG4" s="42" t="inlineStr">
        <is>
          <t>MAC_Table</t>
        </is>
      </c>
      <c r="BH4" s="42" t="inlineStr">
        <is>
          <t>Max_VLANs</t>
        </is>
      </c>
      <c r="BI4" s="42" t="inlineStr">
        <is>
          <t>IGMP_Groups</t>
        </is>
      </c>
      <c r="BJ4" s="42" t="inlineStr">
        <is>
          <t>Max_LAGs</t>
        </is>
      </c>
      <c r="BK4" s="42" t="inlineStr">
        <is>
          <t>L3_Feature_Set</t>
        </is>
      </c>
      <c r="BL4" s="42" t="inlineStr">
        <is>
          <t>Stacking</t>
        </is>
      </c>
      <c r="BM4" s="42" t="inlineStr">
        <is>
          <t>Stack_Max_Units</t>
        </is>
      </c>
      <c r="BN4" s="42" t="inlineStr">
        <is>
          <t>AVB</t>
        </is>
      </c>
      <c r="BO4" s="42" t="inlineStr">
        <is>
          <t>PTP</t>
        </is>
      </c>
      <c r="BP4" s="42" t="inlineStr">
        <is>
          <t>SMPTE_ST2110</t>
        </is>
      </c>
      <c r="BQ4" s="42" t="inlineStr">
        <is>
          <t>IGMP_Plus</t>
        </is>
      </c>
      <c r="BR4" s="42" t="inlineStr">
        <is>
          <t>Engage_Support</t>
        </is>
      </c>
      <c r="BS4" s="42" t="inlineStr">
        <is>
          <t>Insight_Support</t>
        </is>
      </c>
      <c r="BT4" s="42" t="inlineStr">
        <is>
          <t>OpTemp_Max_C</t>
        </is>
      </c>
      <c r="BU4" s="42" t="inlineStr">
        <is>
          <t>Airflow</t>
        </is>
      </c>
      <c r="BV4" s="42" t="inlineStr">
        <is>
          <t>Fan_Off_Mode</t>
        </is>
      </c>
      <c r="BW4" s="42" t="inlineStr">
        <is>
          <t>Acoustic_Quiet_25C_dBA</t>
        </is>
      </c>
      <c r="BX4" s="42" t="inlineStr">
        <is>
          <t>MTBF_25C_hours</t>
        </is>
      </c>
      <c r="BY4" s="42" t="inlineStr">
        <is>
          <t>Warranty</t>
        </is>
      </c>
      <c r="BZ4" s="42" t="inlineStr">
        <is>
          <t>Support_Category</t>
        </is>
      </c>
      <c r="CA4" s="42" t="inlineStr">
        <is>
          <t>TAA_SKU</t>
        </is>
      </c>
      <c r="CB4" s="42" t="inlineStr">
        <is>
          <t>Included_Subscription</t>
        </is>
      </c>
      <c r="CC4" s="42" t="inlineStr">
        <is>
          <t>WAN_Ports</t>
        </is>
      </c>
      <c r="CD4" s="42" t="inlineStr">
        <is>
          <t>WAN_Throughput</t>
        </is>
      </c>
      <c r="CE4" s="42" t="inlineStr">
        <is>
          <t>VPN_Capacity</t>
        </is>
      </c>
      <c r="CF4" s="42" t="inlineStr">
        <is>
          <t>Max_Clients</t>
        </is>
      </c>
      <c r="CG4" s="42" t="inlineStr">
        <is>
          <t>WiFi_Standard</t>
        </is>
      </c>
      <c r="CH4" s="42" t="inlineStr">
        <is>
          <t>WiFi_Streams</t>
        </is>
      </c>
      <c r="CI4" s="42" t="inlineStr">
        <is>
          <t>WiFi_Max_Gbps</t>
        </is>
      </c>
      <c r="CJ4" s="42" t="inlineStr">
        <is>
          <t>SSIDs</t>
        </is>
      </c>
      <c r="CK4" s="42" t="inlineStr">
        <is>
          <t>Source_Datasheet</t>
        </is>
      </c>
      <c r="CL4" s="42" t="inlineStr">
        <is>
          <t>Last_Verified</t>
        </is>
      </c>
      <c r="CM4" s="42" t="inlineStr">
        <is>
          <t>Data_Notes</t>
        </is>
      </c>
    </row>
    <row r="5" ht="46.25" customHeight="1" s="29">
      <c r="A5" s="43" t="inlineStr">
        <is>
          <t>GSM4210PD</t>
        </is>
      </c>
      <c r="B5" s="43" t="inlineStr">
        <is>
          <t>M4250-9G1F-PoE+</t>
        </is>
      </c>
      <c r="C5" s="43" t="inlineStr">
        <is>
          <t>M4250</t>
        </is>
      </c>
      <c r="D5" s="43" t="inlineStr">
        <is>
          <t>NETGEAR AV Line</t>
        </is>
      </c>
      <c r="E5" s="43" t="inlineStr">
        <is>
          <t>Switch</t>
        </is>
      </c>
      <c r="F5" s="43" t="inlineStr">
        <is>
          <t>Access / Edge</t>
        </is>
      </c>
      <c r="G5" s="43" t="inlineStr">
        <is>
          <t>AV UI; Engage; IT Web GUI; CLI; SNMP</t>
        </is>
      </c>
      <c r="H5" s="43" t="inlineStr">
        <is>
          <t>Active</t>
        </is>
      </c>
      <c r="I5" s="44" t="n"/>
      <c r="J5" s="45" t="n"/>
      <c r="K5" s="45" t="n"/>
      <c r="L5" s="43" t="inlineStr">
        <is>
          <t>Desktop</t>
        </is>
      </c>
      <c r="M5" s="43" t="n"/>
      <c r="N5" s="43" t="inlineStr">
        <is>
          <t>Desktop</t>
        </is>
      </c>
      <c r="O5" s="43" t="n">
        <v>210</v>
      </c>
      <c r="P5" s="43" t="n">
        <v>140</v>
      </c>
      <c r="Q5" s="43" t="n">
        <v>40</v>
      </c>
      <c r="R5" s="46" t="n">
        <v>0.965</v>
      </c>
      <c r="S5" s="43" t="n">
        <v>9</v>
      </c>
      <c r="T5" s="43" t="n">
        <v>0</v>
      </c>
      <c r="U5" s="43" t="n">
        <v>0</v>
      </c>
      <c r="V5" s="43" t="n">
        <v>1</v>
      </c>
      <c r="W5" s="43" t="n">
        <v>0</v>
      </c>
      <c r="X5" s="43" t="n">
        <v>0</v>
      </c>
      <c r="Y5" s="43" t="n">
        <v>0</v>
      </c>
      <c r="Z5" s="43" t="n">
        <v>0</v>
      </c>
      <c r="AA5" s="43" t="n">
        <v>0</v>
      </c>
      <c r="AB5" s="43" t="n">
        <v>0</v>
      </c>
      <c r="AC5" s="43" t="n">
        <v>0</v>
      </c>
      <c r="AD5" s="43" t="n">
        <v>0</v>
      </c>
      <c r="AE5" s="43" t="n">
        <v>0</v>
      </c>
      <c r="AF5" s="47">
        <f>SUM(S5:AE5)</f>
        <v/>
      </c>
      <c r="AG5" s="43" t="n"/>
      <c r="AH5" s="43" t="n"/>
      <c r="AI5" s="43" t="n">
        <v>8</v>
      </c>
      <c r="AJ5" s="43" t="inlineStr">
        <is>
          <t>802.3at PoE+</t>
        </is>
      </c>
      <c r="AK5" s="43" t="n">
        <v>30</v>
      </c>
      <c r="AL5" s="48" t="n">
        <v>110</v>
      </c>
      <c r="AM5" s="48" t="n">
        <v>110</v>
      </c>
      <c r="AN5" s="43" t="n"/>
      <c r="AO5" s="49">
        <f>IFERROR(AM5/AI5,"")</f>
        <v/>
      </c>
      <c r="AP5" s="43" t="n"/>
      <c r="AQ5" s="43" t="n"/>
      <c r="AR5" s="43" t="n"/>
      <c r="AS5" s="43" t="inlineStr">
        <is>
          <t>External adapter (130W, included)</t>
        </is>
      </c>
      <c r="AT5" s="43" t="n"/>
      <c r="AU5" s="43" t="n">
        <v>1</v>
      </c>
      <c r="AV5" s="43" t="n">
        <v>0</v>
      </c>
      <c r="AW5" s="43" t="inlineStr">
        <is>
          <t>None (fixed)</t>
        </is>
      </c>
      <c r="AX5" s="43" t="n">
        <v>6.4</v>
      </c>
      <c r="AY5" s="43" t="n">
        <v>9.880000000000001</v>
      </c>
      <c r="AZ5" s="43" t="n">
        <v>132.25</v>
      </c>
      <c r="BA5" s="50">
        <f>IF(MAX(AY5,AZ5)=0,"",ROUND(MAX(AY5,AZ5)*3.412,0))</f>
        <v/>
      </c>
      <c r="BB5" s="48" t="n">
        <v>20</v>
      </c>
      <c r="BC5" s="46" t="n">
        <v>14.88</v>
      </c>
      <c r="BD5" s="43" t="n">
        <v>16</v>
      </c>
      <c r="BE5" s="43" t="n">
        <v>2</v>
      </c>
      <c r="BF5" s="43" t="inlineStr">
        <is>
          <t>ARM A9 1.25GHz</t>
        </is>
      </c>
      <c r="BG5" s="48" t="n">
        <v>16384</v>
      </c>
      <c r="BH5" s="43" t="n">
        <v>4093</v>
      </c>
      <c r="BI5" s="43" t="inlineStr">
        <is>
          <t>2K IPv4 / 2K IPv6</t>
        </is>
      </c>
      <c r="BJ5" s="43" t="inlineStr">
        <is>
          <t>8 x 8 ports</t>
        </is>
      </c>
      <c r="BK5" s="51" t="inlineStr">
        <is>
          <t>Lite L3 (static, RIP, PIM-SM/DM, DHCP server)</t>
        </is>
      </c>
      <c r="BL5" s="43" t="inlineStr">
        <is>
          <t>No</t>
        </is>
      </c>
      <c r="BM5" s="43" t="n"/>
      <c r="BN5" s="43" t="inlineStr">
        <is>
          <t>Yes (256 streams; not on LAG)</t>
        </is>
      </c>
      <c r="BO5" s="43" t="inlineStr">
        <is>
          <t>PTPv2 1-step E2E Transparent Clock</t>
        </is>
      </c>
      <c r="BP5" s="43" t="inlineStr">
        <is>
          <t>No</t>
        </is>
      </c>
      <c r="BQ5" s="43" t="inlineStr">
        <is>
          <t>Yes</t>
        </is>
      </c>
      <c r="BR5" s="43" t="inlineStr">
        <is>
          <t>Yes</t>
        </is>
      </c>
      <c r="BS5" s="43" t="inlineStr">
        <is>
          <t>No</t>
        </is>
      </c>
      <c r="BT5" s="43" t="n">
        <v>45</v>
      </c>
      <c r="BU5" s="43" t="inlineStr">
        <is>
          <t>Fanless</t>
        </is>
      </c>
      <c r="BV5" s="43" t="inlineStr">
        <is>
          <t>Fanless</t>
        </is>
      </c>
      <c r="BW5" s="43" t="n">
        <v>0</v>
      </c>
      <c r="BX5" s="48" t="n">
        <v>1020808</v>
      </c>
      <c r="BY5" s="51" t="inlineStr">
        <is>
          <t>ProSAFE Limited Lifetime HW; Lifetime NBD replacement</t>
        </is>
      </c>
      <c r="BZ5" s="43" t="inlineStr">
        <is>
          <t>Cat 2</t>
        </is>
      </c>
      <c r="CA5" s="43" t="inlineStr">
        <is>
          <t>Not listed</t>
        </is>
      </c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51" t="inlineStr">
        <is>
          <t>M4250 datasheet DS-M4250-9Nov23 (fw 13.0.4)</t>
        </is>
      </c>
      <c r="CL5" s="43" t="inlineStr">
        <is>
          <t>2026-09-27</t>
        </is>
      </c>
      <c r="CM5" s="51" t="inlineStr">
        <is>
          <t>Throughput 14.88 Mpps (perf table) vs 14.80 Mpps (spec table) - verify</t>
        </is>
      </c>
    </row>
    <row r="6" ht="46.25" customHeight="1" s="29">
      <c r="A6" s="43" t="inlineStr">
        <is>
          <t>GSM4210PX</t>
        </is>
      </c>
      <c r="B6" s="43" t="inlineStr">
        <is>
          <t>M4250-8G2XF-PoE+</t>
        </is>
      </c>
      <c r="C6" s="43" t="inlineStr">
        <is>
          <t>M4250</t>
        </is>
      </c>
      <c r="D6" s="43" t="inlineStr">
        <is>
          <t>NETGEAR AV Line</t>
        </is>
      </c>
      <c r="E6" s="43" t="inlineStr">
        <is>
          <t>Switch</t>
        </is>
      </c>
      <c r="F6" s="43" t="inlineStr">
        <is>
          <t>Access / Edge</t>
        </is>
      </c>
      <c r="G6" s="43" t="inlineStr">
        <is>
          <t>AV UI; Engage; IT Web GUI; CLI; SNMP</t>
        </is>
      </c>
      <c r="H6" s="43" t="inlineStr">
        <is>
          <t>Active</t>
        </is>
      </c>
      <c r="I6" s="44" t="n"/>
      <c r="J6" s="45" t="n"/>
      <c r="K6" s="45" t="n"/>
      <c r="L6" s="43" t="inlineStr">
        <is>
          <t>Desktop</t>
        </is>
      </c>
      <c r="M6" s="43" t="n"/>
      <c r="N6" s="43" t="inlineStr">
        <is>
          <t>Desktop</t>
        </is>
      </c>
      <c r="O6" s="43" t="n">
        <v>210</v>
      </c>
      <c r="P6" s="43" t="n">
        <v>140</v>
      </c>
      <c r="Q6" s="43" t="n">
        <v>40</v>
      </c>
      <c r="R6" s="46" t="n">
        <v>0.967</v>
      </c>
      <c r="S6" s="43" t="n">
        <v>8</v>
      </c>
      <c r="T6" s="43" t="n">
        <v>0</v>
      </c>
      <c r="U6" s="43" t="n">
        <v>0</v>
      </c>
      <c r="V6" s="43" t="n">
        <v>0</v>
      </c>
      <c r="W6" s="43" t="n">
        <v>0</v>
      </c>
      <c r="X6" s="43" t="n">
        <v>2</v>
      </c>
      <c r="Y6" s="43" t="n">
        <v>0</v>
      </c>
      <c r="Z6" s="43" t="n">
        <v>0</v>
      </c>
      <c r="AA6" s="43" t="n">
        <v>0</v>
      </c>
      <c r="AB6" s="43" t="n">
        <v>0</v>
      </c>
      <c r="AC6" s="43" t="n">
        <v>0</v>
      </c>
      <c r="AD6" s="43" t="n">
        <v>0</v>
      </c>
      <c r="AE6" s="43" t="n">
        <v>0</v>
      </c>
      <c r="AF6" s="47">
        <f>SUM(S6:AE6)</f>
        <v/>
      </c>
      <c r="AG6" s="43" t="n"/>
      <c r="AH6" s="43" t="n"/>
      <c r="AI6" s="43" t="n">
        <v>8</v>
      </c>
      <c r="AJ6" s="43" t="inlineStr">
        <is>
          <t>802.3at PoE+</t>
        </is>
      </c>
      <c r="AK6" s="43" t="n">
        <v>30</v>
      </c>
      <c r="AL6" s="48" t="n">
        <v>220</v>
      </c>
      <c r="AM6" s="48" t="n">
        <v>220</v>
      </c>
      <c r="AN6" s="43" t="n"/>
      <c r="AO6" s="49">
        <f>IFERROR(AM6/AI6,"")</f>
        <v/>
      </c>
      <c r="AP6" s="43" t="n"/>
      <c r="AQ6" s="43" t="n"/>
      <c r="AR6" s="43" t="n"/>
      <c r="AS6" s="43" t="inlineStr">
        <is>
          <t>External adapter APS254W (included)</t>
        </is>
      </c>
      <c r="AT6" s="43" t="n"/>
      <c r="AU6" s="43" t="n">
        <v>1</v>
      </c>
      <c r="AV6" s="43" t="n">
        <v>0</v>
      </c>
      <c r="AW6" s="43" t="inlineStr">
        <is>
          <t>None (fixed)</t>
        </is>
      </c>
      <c r="AX6" s="43" t="n">
        <v>9.51</v>
      </c>
      <c r="AY6" s="43" t="n">
        <v>18.14</v>
      </c>
      <c r="AZ6" s="43" t="n">
        <v>257.9</v>
      </c>
      <c r="BA6" s="50">
        <f>IF(MAX(AY6,AZ6)=0,"",ROUND(MAX(AY6,AZ6)*3.412,0))</f>
        <v/>
      </c>
      <c r="BB6" s="48" t="n">
        <v>56</v>
      </c>
      <c r="BC6" s="46" t="n">
        <v>41.67</v>
      </c>
      <c r="BD6" s="43" t="n">
        <v>16</v>
      </c>
      <c r="BE6" s="43" t="n">
        <v>2</v>
      </c>
      <c r="BF6" s="43" t="inlineStr">
        <is>
          <t>ARM A9 1.25GHz</t>
        </is>
      </c>
      <c r="BG6" s="48" t="n">
        <v>16384</v>
      </c>
      <c r="BH6" s="43" t="n">
        <v>4093</v>
      </c>
      <c r="BI6" s="43" t="inlineStr">
        <is>
          <t>2K IPv4 / 2K IPv6</t>
        </is>
      </c>
      <c r="BJ6" s="43" t="inlineStr">
        <is>
          <t>8 x 8 ports</t>
        </is>
      </c>
      <c r="BK6" s="51" t="inlineStr">
        <is>
          <t>Lite L3 (static, RIP, PIM-SM/DM, DHCP server)</t>
        </is>
      </c>
      <c r="BL6" s="43" t="inlineStr">
        <is>
          <t>No</t>
        </is>
      </c>
      <c r="BM6" s="43" t="n"/>
      <c r="BN6" s="43" t="inlineStr">
        <is>
          <t>Yes (256 streams; not on LAG)</t>
        </is>
      </c>
      <c r="BO6" s="43" t="inlineStr">
        <is>
          <t>PTPv2 1-step E2E Transparent Clock</t>
        </is>
      </c>
      <c r="BP6" s="43" t="inlineStr">
        <is>
          <t>No</t>
        </is>
      </c>
      <c r="BQ6" s="43" t="inlineStr">
        <is>
          <t>Yes</t>
        </is>
      </c>
      <c r="BR6" s="43" t="inlineStr">
        <is>
          <t>Yes</t>
        </is>
      </c>
      <c r="BS6" s="43" t="inlineStr">
        <is>
          <t>No</t>
        </is>
      </c>
      <c r="BT6" s="43" t="n">
        <v>45</v>
      </c>
      <c r="BU6" s="43" t="inlineStr">
        <is>
          <t>Side-to-side</t>
        </is>
      </c>
      <c r="BV6" s="43" t="inlineStr">
        <is>
          <t>Yes (up to 180W PoE, RJ45 only)</t>
        </is>
      </c>
      <c r="BW6" s="43" t="n">
        <v>19.3</v>
      </c>
      <c r="BX6" s="48" t="n">
        <v>1484652</v>
      </c>
      <c r="BY6" s="51" t="inlineStr">
        <is>
          <t>ProSAFE Limited Lifetime HW; Lifetime NBD replacement</t>
        </is>
      </c>
      <c r="BZ6" s="43" t="inlineStr">
        <is>
          <t>Cat 2</t>
        </is>
      </c>
      <c r="CA6" s="43" t="inlineStr">
        <is>
          <t>Not listed</t>
        </is>
      </c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51" t="inlineStr">
        <is>
          <t>M4250 datasheet DS-M4250-9Nov23 (fw 13.0.4)</t>
        </is>
      </c>
      <c r="CL6" s="43" t="inlineStr">
        <is>
          <t>2026-09-27</t>
        </is>
      </c>
      <c r="CM6" s="43" t="n"/>
    </row>
    <row r="7" ht="46.25" customHeight="1" s="29">
      <c r="A7" s="43" t="inlineStr">
        <is>
          <t>GSM4212P</t>
        </is>
      </c>
      <c r="B7" s="43" t="inlineStr">
        <is>
          <t>M4250-10G2F-PoE+</t>
        </is>
      </c>
      <c r="C7" s="43" t="inlineStr">
        <is>
          <t>M4250</t>
        </is>
      </c>
      <c r="D7" s="43" t="inlineStr">
        <is>
          <t>NETGEAR AV Line</t>
        </is>
      </c>
      <c r="E7" s="43" t="inlineStr">
        <is>
          <t>Switch</t>
        </is>
      </c>
      <c r="F7" s="43" t="inlineStr">
        <is>
          <t>Access / Edge</t>
        </is>
      </c>
      <c r="G7" s="43" t="inlineStr">
        <is>
          <t>AV UI; Engage; IT Web GUI; CLI; SNMP</t>
        </is>
      </c>
      <c r="H7" s="43" t="inlineStr">
        <is>
          <t>Active</t>
        </is>
      </c>
      <c r="I7" s="44" t="n"/>
      <c r="J7" s="45" t="n"/>
      <c r="K7" s="45" t="n"/>
      <c r="L7" s="43" t="inlineStr">
        <is>
          <t>1U rack</t>
        </is>
      </c>
      <c r="M7" s="43" t="n">
        <v>1</v>
      </c>
      <c r="N7" s="43" t="inlineStr">
        <is>
          <t>Full width</t>
        </is>
      </c>
      <c r="O7" s="43" t="n">
        <v>440</v>
      </c>
      <c r="P7" s="43" t="n">
        <v>200</v>
      </c>
      <c r="Q7" s="43" t="n">
        <v>43.2</v>
      </c>
      <c r="R7" s="46" t="n">
        <v>2.85</v>
      </c>
      <c r="S7" s="43" t="n">
        <v>10</v>
      </c>
      <c r="T7" s="43" t="n">
        <v>0</v>
      </c>
      <c r="U7" s="43" t="n">
        <v>0</v>
      </c>
      <c r="V7" s="43" t="n">
        <v>2</v>
      </c>
      <c r="W7" s="43" t="n">
        <v>0</v>
      </c>
      <c r="X7" s="43" t="n">
        <v>0</v>
      </c>
      <c r="Y7" s="43" t="n">
        <v>0</v>
      </c>
      <c r="Z7" s="43" t="n">
        <v>0</v>
      </c>
      <c r="AA7" s="43" t="n">
        <v>0</v>
      </c>
      <c r="AB7" s="43" t="n">
        <v>0</v>
      </c>
      <c r="AC7" s="43" t="n">
        <v>0</v>
      </c>
      <c r="AD7" s="43" t="n">
        <v>0</v>
      </c>
      <c r="AE7" s="43" t="n">
        <v>0</v>
      </c>
      <c r="AF7" s="47">
        <f>SUM(S7:AE7)</f>
        <v/>
      </c>
      <c r="AG7" s="43" t="n"/>
      <c r="AH7" s="43" t="n"/>
      <c r="AI7" s="43" t="n">
        <v>8</v>
      </c>
      <c r="AJ7" s="43" t="inlineStr">
        <is>
          <t>802.3at PoE+</t>
        </is>
      </c>
      <c r="AK7" s="43" t="n">
        <v>30</v>
      </c>
      <c r="AL7" s="48" t="n">
        <v>125</v>
      </c>
      <c r="AM7" s="48" t="n">
        <v>125</v>
      </c>
      <c r="AN7" s="43" t="n"/>
      <c r="AO7" s="49">
        <f>IFERROR(AM7/AI7,"")</f>
        <v/>
      </c>
      <c r="AP7" s="43" t="n"/>
      <c r="AQ7" s="43" t="n"/>
      <c r="AR7" s="43" t="n"/>
      <c r="AS7" s="43" t="inlineStr">
        <is>
          <t>Internal fixed (C14)</t>
        </is>
      </c>
      <c r="AT7" s="43" t="n"/>
      <c r="AU7" s="43" t="n">
        <v>1</v>
      </c>
      <c r="AV7" s="43" t="n">
        <v>0</v>
      </c>
      <c r="AW7" s="43" t="inlineStr">
        <is>
          <t>None (fixed)</t>
        </is>
      </c>
      <c r="AX7" s="43" t="n">
        <v>8.529999999999999</v>
      </c>
      <c r="AY7" s="43" t="n">
        <v>17.32</v>
      </c>
      <c r="AZ7" s="43" t="n">
        <v>163.9</v>
      </c>
      <c r="BA7" s="50">
        <f>IF(MAX(AY7,AZ7)=0,"",ROUND(MAX(AY7,AZ7)*3.412,0))</f>
        <v/>
      </c>
      <c r="BB7" s="48" t="n">
        <v>24</v>
      </c>
      <c r="BC7" s="46" t="n">
        <v>17.86</v>
      </c>
      <c r="BD7" s="43" t="n">
        <v>16</v>
      </c>
      <c r="BE7" s="43" t="n">
        <v>2</v>
      </c>
      <c r="BF7" s="43" t="inlineStr">
        <is>
          <t>ARM A9 1.25GHz</t>
        </is>
      </c>
      <c r="BG7" s="48" t="n">
        <v>16384</v>
      </c>
      <c r="BH7" s="43" t="n">
        <v>4093</v>
      </c>
      <c r="BI7" s="43" t="inlineStr">
        <is>
          <t>2K IPv4 / 2K IPv6</t>
        </is>
      </c>
      <c r="BJ7" s="43" t="inlineStr">
        <is>
          <t>8 x 8 ports</t>
        </is>
      </c>
      <c r="BK7" s="51" t="inlineStr">
        <is>
          <t>Lite L3 (static, RIP, PIM-SM/DM, DHCP server)</t>
        </is>
      </c>
      <c r="BL7" s="43" t="inlineStr">
        <is>
          <t>No</t>
        </is>
      </c>
      <c r="BM7" s="43" t="n"/>
      <c r="BN7" s="43" t="inlineStr">
        <is>
          <t>Yes (256 streams; not on LAG)</t>
        </is>
      </c>
      <c r="BO7" s="43" t="inlineStr">
        <is>
          <t>PTPv2 1-step E2E Transparent Clock</t>
        </is>
      </c>
      <c r="BP7" s="43" t="inlineStr">
        <is>
          <t>No</t>
        </is>
      </c>
      <c r="BQ7" s="43" t="inlineStr">
        <is>
          <t>Yes</t>
        </is>
      </c>
      <c r="BR7" s="43" t="inlineStr">
        <is>
          <t>Yes</t>
        </is>
      </c>
      <c r="BS7" s="43" t="inlineStr">
        <is>
          <t>No</t>
        </is>
      </c>
      <c r="BT7" s="43" t="n">
        <v>45</v>
      </c>
      <c r="BU7" s="43" t="inlineStr">
        <is>
          <t>Side-to-side</t>
        </is>
      </c>
      <c r="BV7" s="43" t="inlineStr">
        <is>
          <t>Yes (up to 80W PoE)</t>
        </is>
      </c>
      <c r="BW7" s="43" t="n">
        <v>27.38</v>
      </c>
      <c r="BX7" s="48" t="n">
        <v>778769</v>
      </c>
      <c r="BY7" s="51" t="inlineStr">
        <is>
          <t>ProSAFE Limited Lifetime HW; Lifetime NBD replacement</t>
        </is>
      </c>
      <c r="BZ7" s="43" t="inlineStr">
        <is>
          <t>Cat 2</t>
        </is>
      </c>
      <c r="CA7" s="43" t="inlineStr">
        <is>
          <t>Not listed</t>
        </is>
      </c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51" t="inlineStr">
        <is>
          <t>M4250 datasheet DS-M4250-9Nov23 (fw 13.0.4)</t>
        </is>
      </c>
      <c r="CL7" s="43" t="inlineStr">
        <is>
          <t>2026-09-27</t>
        </is>
      </c>
      <c r="CM7" s="43" t="n"/>
    </row>
    <row r="8" ht="46.25" customHeight="1" s="29">
      <c r="A8" s="43" t="inlineStr">
        <is>
          <t>GSM4212PX</t>
        </is>
      </c>
      <c r="B8" s="43" t="inlineStr">
        <is>
          <t>M4250-10G2XF-PoE+</t>
        </is>
      </c>
      <c r="C8" s="43" t="inlineStr">
        <is>
          <t>M4250</t>
        </is>
      </c>
      <c r="D8" s="43" t="inlineStr">
        <is>
          <t>NETGEAR AV Line</t>
        </is>
      </c>
      <c r="E8" s="43" t="inlineStr">
        <is>
          <t>Switch</t>
        </is>
      </c>
      <c r="F8" s="43" t="inlineStr">
        <is>
          <t>Access / Edge</t>
        </is>
      </c>
      <c r="G8" s="43" t="inlineStr">
        <is>
          <t>AV UI; Engage; IT Web GUI; CLI; SNMP</t>
        </is>
      </c>
      <c r="H8" s="43" t="inlineStr">
        <is>
          <t>Active</t>
        </is>
      </c>
      <c r="I8" s="44" t="n"/>
      <c r="J8" s="45" t="n"/>
      <c r="K8" s="45" t="n"/>
      <c r="L8" s="43" t="inlineStr">
        <is>
          <t>1U rack</t>
        </is>
      </c>
      <c r="M8" s="43" t="n">
        <v>1</v>
      </c>
      <c r="N8" s="43" t="inlineStr">
        <is>
          <t>Full width</t>
        </is>
      </c>
      <c r="O8" s="43" t="n">
        <v>440</v>
      </c>
      <c r="P8" s="43" t="n">
        <v>200</v>
      </c>
      <c r="Q8" s="43" t="n">
        <v>43.2</v>
      </c>
      <c r="R8" s="46" t="n">
        <v>2.9</v>
      </c>
      <c r="S8" s="43" t="n">
        <v>10</v>
      </c>
      <c r="T8" s="43" t="n">
        <v>0</v>
      </c>
      <c r="U8" s="43" t="n">
        <v>0</v>
      </c>
      <c r="V8" s="43" t="n">
        <v>0</v>
      </c>
      <c r="W8" s="43" t="n">
        <v>0</v>
      </c>
      <c r="X8" s="43" t="n">
        <v>2</v>
      </c>
      <c r="Y8" s="43" t="n">
        <v>0</v>
      </c>
      <c r="Z8" s="43" t="n">
        <v>0</v>
      </c>
      <c r="AA8" s="43" t="n">
        <v>0</v>
      </c>
      <c r="AB8" s="43" t="n">
        <v>0</v>
      </c>
      <c r="AC8" s="43" t="n">
        <v>0</v>
      </c>
      <c r="AD8" s="43" t="n">
        <v>0</v>
      </c>
      <c r="AE8" s="43" t="n">
        <v>0</v>
      </c>
      <c r="AF8" s="47">
        <f>SUM(S8:AE8)</f>
        <v/>
      </c>
      <c r="AG8" s="43" t="n"/>
      <c r="AH8" s="43" t="n"/>
      <c r="AI8" s="43" t="n">
        <v>8</v>
      </c>
      <c r="AJ8" s="43" t="inlineStr">
        <is>
          <t>802.3at PoE+</t>
        </is>
      </c>
      <c r="AK8" s="43" t="n">
        <v>30</v>
      </c>
      <c r="AL8" s="48" t="n">
        <v>240</v>
      </c>
      <c r="AM8" s="48" t="n">
        <v>240</v>
      </c>
      <c r="AN8" s="43" t="n"/>
      <c r="AO8" s="49">
        <f>IFERROR(AM8/AI8,"")</f>
        <v/>
      </c>
      <c r="AP8" s="43" t="n"/>
      <c r="AQ8" s="43" t="n"/>
      <c r="AR8" s="43" t="n"/>
      <c r="AS8" s="43" t="inlineStr">
        <is>
          <t>Internal fixed (C14)</t>
        </is>
      </c>
      <c r="AT8" s="43" t="n"/>
      <c r="AU8" s="43" t="n">
        <v>1</v>
      </c>
      <c r="AV8" s="43" t="n">
        <v>0</v>
      </c>
      <c r="AW8" s="43" t="inlineStr">
        <is>
          <t>None (fixed)</t>
        </is>
      </c>
      <c r="AX8" s="43" t="n">
        <v>12.96</v>
      </c>
      <c r="AY8" s="43" t="n">
        <v>25</v>
      </c>
      <c r="AZ8" s="43" t="n">
        <v>306.4</v>
      </c>
      <c r="BA8" s="50">
        <f>IF(MAX(AY8,AZ8)=0,"",ROUND(MAX(AY8,AZ8)*3.412,0))</f>
        <v/>
      </c>
      <c r="BB8" s="48" t="n">
        <v>60</v>
      </c>
      <c r="BC8" s="46" t="n">
        <v>44.64</v>
      </c>
      <c r="BD8" s="43" t="n">
        <v>16</v>
      </c>
      <c r="BE8" s="43" t="n">
        <v>2</v>
      </c>
      <c r="BF8" s="43" t="inlineStr">
        <is>
          <t>ARM A9 1.25GHz</t>
        </is>
      </c>
      <c r="BG8" s="48" t="n">
        <v>16384</v>
      </c>
      <c r="BH8" s="43" t="n">
        <v>4093</v>
      </c>
      <c r="BI8" s="43" t="inlineStr">
        <is>
          <t>2K IPv4 / 2K IPv6</t>
        </is>
      </c>
      <c r="BJ8" s="43" t="inlineStr">
        <is>
          <t>8 x 8 ports</t>
        </is>
      </c>
      <c r="BK8" s="51" t="inlineStr">
        <is>
          <t>Lite L3 (static, RIP, PIM-SM/DM, DHCP server)</t>
        </is>
      </c>
      <c r="BL8" s="43" t="inlineStr">
        <is>
          <t>No</t>
        </is>
      </c>
      <c r="BM8" s="43" t="n"/>
      <c r="BN8" s="43" t="inlineStr">
        <is>
          <t>Yes (256 streams; not on LAG)</t>
        </is>
      </c>
      <c r="BO8" s="43" t="inlineStr">
        <is>
          <t>PTPv2 1-step E2E Transparent Clock</t>
        </is>
      </c>
      <c r="BP8" s="43" t="inlineStr">
        <is>
          <t>No</t>
        </is>
      </c>
      <c r="BQ8" s="43" t="inlineStr">
        <is>
          <t>Yes</t>
        </is>
      </c>
      <c r="BR8" s="43" t="inlineStr">
        <is>
          <t>Yes</t>
        </is>
      </c>
      <c r="BS8" s="43" t="inlineStr">
        <is>
          <t>No</t>
        </is>
      </c>
      <c r="BT8" s="43" t="n">
        <v>45</v>
      </c>
      <c r="BU8" s="43" t="inlineStr">
        <is>
          <t>Side-to-side</t>
        </is>
      </c>
      <c r="BV8" s="43" t="inlineStr">
        <is>
          <t>Yes (up to 90W PoE)</t>
        </is>
      </c>
      <c r="BW8" s="43" t="n">
        <v>27.4</v>
      </c>
      <c r="BX8" s="48" t="n">
        <v>576889</v>
      </c>
      <c r="BY8" s="51" t="inlineStr">
        <is>
          <t>ProSAFE Limited Lifetime HW; Lifetime NBD replacement</t>
        </is>
      </c>
      <c r="BZ8" s="43" t="inlineStr">
        <is>
          <t>Cat 2</t>
        </is>
      </c>
      <c r="CA8" s="43" t="inlineStr">
        <is>
          <t>Not listed</t>
        </is>
      </c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51" t="inlineStr">
        <is>
          <t>M4250 datasheet DS-M4250-9Nov23 (fw 13.0.4)</t>
        </is>
      </c>
      <c r="CL8" s="43" t="inlineStr">
        <is>
          <t>2026-09-27</t>
        </is>
      </c>
      <c r="CM8" s="43" t="n"/>
    </row>
    <row r="9" ht="46.25" customHeight="1" s="29">
      <c r="A9" s="43" t="inlineStr">
        <is>
          <t>GSM4212UX</t>
        </is>
      </c>
      <c r="B9" s="43" t="inlineStr">
        <is>
          <t>M4250-10G2XF-PoE++</t>
        </is>
      </c>
      <c r="C9" s="43" t="inlineStr">
        <is>
          <t>M4250</t>
        </is>
      </c>
      <c r="D9" s="43" t="inlineStr">
        <is>
          <t>NETGEAR AV Line</t>
        </is>
      </c>
      <c r="E9" s="43" t="inlineStr">
        <is>
          <t>Switch</t>
        </is>
      </c>
      <c r="F9" s="43" t="inlineStr">
        <is>
          <t>Access / Edge</t>
        </is>
      </c>
      <c r="G9" s="43" t="inlineStr">
        <is>
          <t>AV UI; Engage; IT Web GUI; CLI; SNMP</t>
        </is>
      </c>
      <c r="H9" s="43" t="inlineStr">
        <is>
          <t>Active</t>
        </is>
      </c>
      <c r="I9" s="44" t="n"/>
      <c r="J9" s="45" t="n"/>
      <c r="K9" s="45" t="n"/>
      <c r="L9" s="43" t="inlineStr">
        <is>
          <t>1U rack</t>
        </is>
      </c>
      <c r="M9" s="43" t="n">
        <v>1</v>
      </c>
      <c r="N9" s="43" t="inlineStr">
        <is>
          <t>Full width</t>
        </is>
      </c>
      <c r="O9" s="43" t="n">
        <v>440</v>
      </c>
      <c r="P9" s="43" t="n">
        <v>257</v>
      </c>
      <c r="Q9" s="43" t="n">
        <v>43.2</v>
      </c>
      <c r="R9" s="46" t="n">
        <v>3.83</v>
      </c>
      <c r="S9" s="43" t="n">
        <v>10</v>
      </c>
      <c r="T9" s="43" t="n">
        <v>0</v>
      </c>
      <c r="U9" s="43" t="n">
        <v>0</v>
      </c>
      <c r="V9" s="43" t="n">
        <v>0</v>
      </c>
      <c r="W9" s="43" t="n">
        <v>0</v>
      </c>
      <c r="X9" s="43" t="n">
        <v>2</v>
      </c>
      <c r="Y9" s="43" t="n">
        <v>0</v>
      </c>
      <c r="Z9" s="43" t="n">
        <v>0</v>
      </c>
      <c r="AA9" s="43" t="n">
        <v>0</v>
      </c>
      <c r="AB9" s="43" t="n">
        <v>0</v>
      </c>
      <c r="AC9" s="43" t="n">
        <v>0</v>
      </c>
      <c r="AD9" s="43" t="n">
        <v>0</v>
      </c>
      <c r="AE9" s="43" t="n">
        <v>0</v>
      </c>
      <c r="AF9" s="47">
        <f>SUM(S9:AE9)</f>
        <v/>
      </c>
      <c r="AG9" s="43" t="n"/>
      <c r="AH9" s="43" t="n"/>
      <c r="AI9" s="43" t="n">
        <v>8</v>
      </c>
      <c r="AJ9" s="43" t="inlineStr">
        <is>
          <t>802.3bt Ultra90 PoE++</t>
        </is>
      </c>
      <c r="AK9" s="43" t="n">
        <v>90</v>
      </c>
      <c r="AL9" s="48" t="n">
        <v>720</v>
      </c>
      <c r="AM9" s="48" t="n">
        <v>720</v>
      </c>
      <c r="AN9" s="43" t="n"/>
      <c r="AO9" s="49">
        <f>IFERROR(AM9/AI9,"")</f>
        <v/>
      </c>
      <c r="AP9" s="43" t="n"/>
      <c r="AQ9" s="43" t="n"/>
      <c r="AR9" s="43" t="n"/>
      <c r="AS9" s="43" t="inlineStr">
        <is>
          <t>Internal fixed (C14)</t>
        </is>
      </c>
      <c r="AT9" s="43" t="n"/>
      <c r="AU9" s="43" t="n">
        <v>1</v>
      </c>
      <c r="AV9" s="43" t="n">
        <v>0</v>
      </c>
      <c r="AW9" s="43" t="inlineStr">
        <is>
          <t>None (fixed)</t>
        </is>
      </c>
      <c r="AX9" s="43" t="n">
        <v>18</v>
      </c>
      <c r="AY9" s="43" t="n">
        <v>26.3</v>
      </c>
      <c r="AZ9" s="43" t="n">
        <v>837.7</v>
      </c>
      <c r="BA9" s="50">
        <f>IF(MAX(AY9,AZ9)=0,"",ROUND(MAX(AY9,AZ9)*3.412,0))</f>
        <v/>
      </c>
      <c r="BB9" s="48" t="n">
        <v>60</v>
      </c>
      <c r="BC9" s="46" t="n">
        <v>44.64</v>
      </c>
      <c r="BD9" s="43" t="n">
        <v>16</v>
      </c>
      <c r="BE9" s="43" t="n">
        <v>2</v>
      </c>
      <c r="BF9" s="43" t="inlineStr">
        <is>
          <t>ARM A9 1.25GHz</t>
        </is>
      </c>
      <c r="BG9" s="48" t="n">
        <v>16384</v>
      </c>
      <c r="BH9" s="43" t="n">
        <v>4093</v>
      </c>
      <c r="BI9" s="43" t="inlineStr">
        <is>
          <t>2K IPv4 / 2K IPv6</t>
        </is>
      </c>
      <c r="BJ9" s="43" t="inlineStr">
        <is>
          <t>8 x 8 ports</t>
        </is>
      </c>
      <c r="BK9" s="51" t="inlineStr">
        <is>
          <t>Lite L3 (static, RIP, PIM-SM/DM, DHCP server)</t>
        </is>
      </c>
      <c r="BL9" s="43" t="inlineStr">
        <is>
          <t>No</t>
        </is>
      </c>
      <c r="BM9" s="43" t="n"/>
      <c r="BN9" s="43" t="inlineStr">
        <is>
          <t>Yes (256 streams; not on LAG)</t>
        </is>
      </c>
      <c r="BO9" s="43" t="inlineStr">
        <is>
          <t>PTPv2 1-step E2E Transparent Clock</t>
        </is>
      </c>
      <c r="BP9" s="43" t="inlineStr">
        <is>
          <t>No</t>
        </is>
      </c>
      <c r="BQ9" s="43" t="inlineStr">
        <is>
          <t>Yes</t>
        </is>
      </c>
      <c r="BR9" s="43" t="inlineStr">
        <is>
          <t>Yes</t>
        </is>
      </c>
      <c r="BS9" s="43" t="inlineStr">
        <is>
          <t>No</t>
        </is>
      </c>
      <c r="BT9" s="43" t="n">
        <v>45</v>
      </c>
      <c r="BU9" s="43" t="inlineStr">
        <is>
          <t>Side-to-side</t>
        </is>
      </c>
      <c r="BV9" s="43" t="inlineStr">
        <is>
          <t>Yes (up to 45W PoE)</t>
        </is>
      </c>
      <c r="BW9" s="43" t="n">
        <v>34.57</v>
      </c>
      <c r="BX9" s="48" t="n">
        <v>947871</v>
      </c>
      <c r="BY9" s="51" t="inlineStr">
        <is>
          <t>ProSAFE Limited Lifetime HW; Lifetime NBD replacement</t>
        </is>
      </c>
      <c r="BZ9" s="43" t="inlineStr">
        <is>
          <t>Cat 2</t>
        </is>
      </c>
      <c r="CA9" s="43" t="inlineStr">
        <is>
          <t>Not listed</t>
        </is>
      </c>
      <c r="CB9" s="43" t="n"/>
      <c r="CC9" s="43" t="n"/>
      <c r="CD9" s="43" t="n"/>
      <c r="CE9" s="43" t="n"/>
      <c r="CF9" s="43" t="n"/>
      <c r="CG9" s="43" t="n"/>
      <c r="CH9" s="43" t="n"/>
      <c r="CI9" s="43" t="n"/>
      <c r="CJ9" s="43" t="n"/>
      <c r="CK9" s="51" t="inlineStr">
        <is>
          <t>M4250 datasheet DS-M4250-9Nov23 (fw 13.0.4)</t>
        </is>
      </c>
      <c r="CL9" s="43" t="inlineStr">
        <is>
          <t>2026-09-27</t>
        </is>
      </c>
      <c r="CM9" s="43" t="n"/>
    </row>
    <row r="10" ht="46.25" customHeight="1" s="29">
      <c r="A10" s="43" t="inlineStr">
        <is>
          <t>GSM4230P</t>
        </is>
      </c>
      <c r="B10" s="43" t="inlineStr">
        <is>
          <t>M4250-26G4F-PoE+</t>
        </is>
      </c>
      <c r="C10" s="43" t="inlineStr">
        <is>
          <t>M4250</t>
        </is>
      </c>
      <c r="D10" s="43" t="inlineStr">
        <is>
          <t>NETGEAR AV Line</t>
        </is>
      </c>
      <c r="E10" s="43" t="inlineStr">
        <is>
          <t>Switch</t>
        </is>
      </c>
      <c r="F10" s="43" t="inlineStr">
        <is>
          <t>Access / Edge</t>
        </is>
      </c>
      <c r="G10" s="43" t="inlineStr">
        <is>
          <t>AV UI; Engage; IT Web GUI; CLI; SNMP</t>
        </is>
      </c>
      <c r="H10" s="43" t="inlineStr">
        <is>
          <t>Active</t>
        </is>
      </c>
      <c r="I10" s="44" t="n"/>
      <c r="J10" s="45" t="n"/>
      <c r="K10" s="45" t="n"/>
      <c r="L10" s="43" t="inlineStr">
        <is>
          <t>1U rack</t>
        </is>
      </c>
      <c r="M10" s="43" t="n">
        <v>1</v>
      </c>
      <c r="N10" s="43" t="inlineStr">
        <is>
          <t>Full width</t>
        </is>
      </c>
      <c r="O10" s="43" t="n">
        <v>440</v>
      </c>
      <c r="P10" s="43" t="n">
        <v>257</v>
      </c>
      <c r="Q10" s="43" t="n">
        <v>43.2</v>
      </c>
      <c r="R10" s="46" t="n">
        <v>4.3</v>
      </c>
      <c r="S10" s="43" t="n">
        <v>26</v>
      </c>
      <c r="T10" s="43" t="n">
        <v>0</v>
      </c>
      <c r="U10" s="43" t="n">
        <v>0</v>
      </c>
      <c r="V10" s="43" t="n">
        <v>4</v>
      </c>
      <c r="W10" s="43" t="n">
        <v>0</v>
      </c>
      <c r="X10" s="43" t="n">
        <v>0</v>
      </c>
      <c r="Y10" s="43" t="n">
        <v>0</v>
      </c>
      <c r="Z10" s="43" t="n">
        <v>0</v>
      </c>
      <c r="AA10" s="43" t="n">
        <v>0</v>
      </c>
      <c r="AB10" s="43" t="n">
        <v>0</v>
      </c>
      <c r="AC10" s="43" t="n">
        <v>0</v>
      </c>
      <c r="AD10" s="43" t="n">
        <v>0</v>
      </c>
      <c r="AE10" s="43" t="n">
        <v>0</v>
      </c>
      <c r="AF10" s="47">
        <f>SUM(S10:AE10)</f>
        <v/>
      </c>
      <c r="AG10" s="43" t="n"/>
      <c r="AH10" s="43" t="n"/>
      <c r="AI10" s="43" t="n">
        <v>24</v>
      </c>
      <c r="AJ10" s="43" t="inlineStr">
        <is>
          <t>802.3at PoE+</t>
        </is>
      </c>
      <c r="AK10" s="43" t="n">
        <v>30</v>
      </c>
      <c r="AL10" s="48" t="n">
        <v>300</v>
      </c>
      <c r="AM10" s="48" t="n">
        <v>300</v>
      </c>
      <c r="AN10" s="43" t="n"/>
      <c r="AO10" s="49">
        <f>IFERROR(AM10/AI10,"")</f>
        <v/>
      </c>
      <c r="AP10" s="43" t="n"/>
      <c r="AQ10" s="43" t="n"/>
      <c r="AR10" s="43" t="n"/>
      <c r="AS10" s="43" t="inlineStr">
        <is>
          <t>Internal fixed (C14)</t>
        </is>
      </c>
      <c r="AT10" s="43" t="n"/>
      <c r="AU10" s="43" t="n">
        <v>1</v>
      </c>
      <c r="AV10" s="43" t="n">
        <v>0</v>
      </c>
      <c r="AW10" s="43" t="inlineStr">
        <is>
          <t>None (fixed)</t>
        </is>
      </c>
      <c r="AX10" s="43" t="n">
        <v>23.4</v>
      </c>
      <c r="AY10" s="43" t="n">
        <v>35.8</v>
      </c>
      <c r="AZ10" s="43" t="n">
        <v>401</v>
      </c>
      <c r="BA10" s="50">
        <f>IF(MAX(AY10,AZ10)=0,"",ROUND(MAX(AY10,AZ10)*3.412,0))</f>
        <v/>
      </c>
      <c r="BB10" s="48" t="n">
        <v>60</v>
      </c>
      <c r="BC10" s="46" t="n">
        <v>44.64</v>
      </c>
      <c r="BD10" s="43" t="n">
        <v>16</v>
      </c>
      <c r="BE10" s="43" t="n">
        <v>2</v>
      </c>
      <c r="BF10" s="43" t="inlineStr">
        <is>
          <t>Quad-core Cortex-A57 1.8GHz</t>
        </is>
      </c>
      <c r="BG10" s="48" t="n">
        <v>16384</v>
      </c>
      <c r="BH10" s="43" t="n">
        <v>4093</v>
      </c>
      <c r="BI10" s="43" t="inlineStr">
        <is>
          <t>2K IPv4 / 2K IPv6</t>
        </is>
      </c>
      <c r="BJ10" s="43" t="inlineStr">
        <is>
          <t>8 x 8 ports</t>
        </is>
      </c>
      <c r="BK10" s="51" t="inlineStr">
        <is>
          <t>Lite L3 (static, RIP, PIM-SM/DM, DHCP server)</t>
        </is>
      </c>
      <c r="BL10" s="43" t="inlineStr">
        <is>
          <t>No</t>
        </is>
      </c>
      <c r="BM10" s="43" t="n"/>
      <c r="BN10" s="43" t="inlineStr">
        <is>
          <t>Yes (256 streams; not on LAG)</t>
        </is>
      </c>
      <c r="BO10" s="43" t="inlineStr">
        <is>
          <t>PTPv2 1-step E2E Transparent Clock</t>
        </is>
      </c>
      <c r="BP10" s="43" t="inlineStr">
        <is>
          <t>No</t>
        </is>
      </c>
      <c r="BQ10" s="43" t="inlineStr">
        <is>
          <t>Yes</t>
        </is>
      </c>
      <c r="BR10" s="43" t="inlineStr">
        <is>
          <t>Yes</t>
        </is>
      </c>
      <c r="BS10" s="43" t="inlineStr">
        <is>
          <t>No</t>
        </is>
      </c>
      <c r="BT10" s="43" t="n">
        <v>45</v>
      </c>
      <c r="BU10" s="43" t="inlineStr">
        <is>
          <t>Side-to-side</t>
        </is>
      </c>
      <c r="BV10" s="43" t="inlineStr">
        <is>
          <t>Yes (up to 45W PoE, 8 ports)</t>
        </is>
      </c>
      <c r="BW10" s="43" t="n">
        <v>28</v>
      </c>
      <c r="BX10" s="48" t="n">
        <v>511054</v>
      </c>
      <c r="BY10" s="51" t="inlineStr">
        <is>
          <t>ProSAFE Limited Lifetime HW; Lifetime NBD replacement</t>
        </is>
      </c>
      <c r="BZ10" s="43" t="inlineStr">
        <is>
          <t>Cat 2</t>
        </is>
      </c>
      <c r="CA10" s="43" t="inlineStr">
        <is>
          <t>Not listed</t>
        </is>
      </c>
      <c r="CB10" s="43" t="n"/>
      <c r="CC10" s="43" t="n"/>
      <c r="CD10" s="43" t="n"/>
      <c r="CE10" s="43" t="n"/>
      <c r="CF10" s="43" t="n"/>
      <c r="CG10" s="43" t="n"/>
      <c r="CH10" s="43" t="n"/>
      <c r="CI10" s="43" t="n"/>
      <c r="CJ10" s="43" t="n"/>
      <c r="CK10" s="51" t="inlineStr">
        <is>
          <t>M4250 datasheet DS-M4250-9Nov23 (fw 13.0.4)</t>
        </is>
      </c>
      <c r="CL10" s="43" t="inlineStr">
        <is>
          <t>2026-09-27</t>
        </is>
      </c>
      <c r="CM10" s="43" t="n"/>
    </row>
    <row r="11" ht="46.25" customHeight="1" s="29">
      <c r="A11" s="43" t="inlineStr">
        <is>
          <t>GSM4230UP</t>
        </is>
      </c>
      <c r="B11" s="43" t="inlineStr">
        <is>
          <t>M4250-26G4F-PoE++</t>
        </is>
      </c>
      <c r="C11" s="43" t="inlineStr">
        <is>
          <t>M4250</t>
        </is>
      </c>
      <c r="D11" s="43" t="inlineStr">
        <is>
          <t>NETGEAR AV Line</t>
        </is>
      </c>
      <c r="E11" s="43" t="inlineStr">
        <is>
          <t>Switch</t>
        </is>
      </c>
      <c r="F11" s="43" t="inlineStr">
        <is>
          <t>Access / Edge</t>
        </is>
      </c>
      <c r="G11" s="43" t="inlineStr">
        <is>
          <t>AV UI; Engage; IT Web GUI; CLI; SNMP</t>
        </is>
      </c>
      <c r="H11" s="43" t="inlineStr">
        <is>
          <t>Active</t>
        </is>
      </c>
      <c r="I11" s="44" t="n"/>
      <c r="J11" s="45" t="n"/>
      <c r="K11" s="45" t="n"/>
      <c r="L11" s="43" t="inlineStr">
        <is>
          <t>1U rack</t>
        </is>
      </c>
      <c r="M11" s="43" t="n">
        <v>1</v>
      </c>
      <c r="N11" s="43" t="inlineStr">
        <is>
          <t>Full width</t>
        </is>
      </c>
      <c r="O11" s="43" t="n">
        <v>440</v>
      </c>
      <c r="P11" s="43" t="n">
        <v>400</v>
      </c>
      <c r="Q11" s="43" t="n">
        <v>43.2</v>
      </c>
      <c r="R11" s="46" t="n">
        <v>6.746</v>
      </c>
      <c r="S11" s="43" t="n">
        <v>26</v>
      </c>
      <c r="T11" s="43" t="n">
        <v>0</v>
      </c>
      <c r="U11" s="43" t="n">
        <v>0</v>
      </c>
      <c r="V11" s="43" t="n">
        <v>4</v>
      </c>
      <c r="W11" s="43" t="n">
        <v>0</v>
      </c>
      <c r="X11" s="43" t="n">
        <v>0</v>
      </c>
      <c r="Y11" s="43" t="n">
        <v>0</v>
      </c>
      <c r="Z11" s="43" t="n">
        <v>0</v>
      </c>
      <c r="AA11" s="43" t="n">
        <v>0</v>
      </c>
      <c r="AB11" s="43" t="n">
        <v>0</v>
      </c>
      <c r="AC11" s="43" t="n">
        <v>0</v>
      </c>
      <c r="AD11" s="43" t="n">
        <v>0</v>
      </c>
      <c r="AE11" s="43" t="n">
        <v>0</v>
      </c>
      <c r="AF11" s="47">
        <f>SUM(S11:AE11)</f>
        <v/>
      </c>
      <c r="AG11" s="43" t="n"/>
      <c r="AH11" s="43" t="n"/>
      <c r="AI11" s="43" t="n">
        <v>24</v>
      </c>
      <c r="AJ11" s="43" t="inlineStr">
        <is>
          <t>802.3bt Ultra90 PoE++</t>
        </is>
      </c>
      <c r="AK11" s="43" t="n">
        <v>90</v>
      </c>
      <c r="AL11" s="48" t="n">
        <v>720</v>
      </c>
      <c r="AM11" s="48" t="n">
        <v>1440</v>
      </c>
      <c r="AN11" s="43" t="n"/>
      <c r="AO11" s="49">
        <f>IFERROR(AM11/AI11,"")</f>
        <v/>
      </c>
      <c r="AP11" s="43" t="n"/>
      <c r="AQ11" s="43" t="n"/>
      <c r="AR11" s="43" t="n"/>
      <c r="AS11" s="43" t="inlineStr">
        <is>
          <t>2x internal fixed (C14), RPS/EPS</t>
        </is>
      </c>
      <c r="AT11" s="43" t="n"/>
      <c r="AU11" s="43" t="n">
        <v>2</v>
      </c>
      <c r="AV11" s="43" t="n">
        <v>0</v>
      </c>
      <c r="AW11" s="43" t="inlineStr">
        <is>
          <t>None (fixed)</t>
        </is>
      </c>
      <c r="AX11" s="43" t="n">
        <v>36.9</v>
      </c>
      <c r="AY11" s="43" t="n">
        <v>48.8</v>
      </c>
      <c r="AZ11" s="43" t="n">
        <v>1734</v>
      </c>
      <c r="BA11" s="50">
        <f>IF(MAX(AY11,AZ11)=0,"",ROUND(MAX(AY11,AZ11)*3.412,0))</f>
        <v/>
      </c>
      <c r="BB11" s="48" t="n">
        <v>60</v>
      </c>
      <c r="BC11" s="46" t="n">
        <v>44.64</v>
      </c>
      <c r="BD11" s="43" t="n">
        <v>16</v>
      </c>
      <c r="BE11" s="43" t="n">
        <v>2</v>
      </c>
      <c r="BF11" s="43" t="inlineStr">
        <is>
          <t>Quad-core Cortex-A57 1.8GHz</t>
        </is>
      </c>
      <c r="BG11" s="48" t="n">
        <v>16384</v>
      </c>
      <c r="BH11" s="43" t="n">
        <v>4093</v>
      </c>
      <c r="BI11" s="43" t="inlineStr">
        <is>
          <t>2K IPv4 / 2K IPv6</t>
        </is>
      </c>
      <c r="BJ11" s="43" t="inlineStr">
        <is>
          <t>8 x 8 ports</t>
        </is>
      </c>
      <c r="BK11" s="51" t="inlineStr">
        <is>
          <t>Lite L3 (static, RIP, PIM-SM/DM, DHCP server)</t>
        </is>
      </c>
      <c r="BL11" s="43" t="inlineStr">
        <is>
          <t>No</t>
        </is>
      </c>
      <c r="BM11" s="43" t="n"/>
      <c r="BN11" s="43" t="inlineStr">
        <is>
          <t>Yes (256 streams; not on LAG)</t>
        </is>
      </c>
      <c r="BO11" s="43" t="inlineStr">
        <is>
          <t>PTPv2 1-step E2E Transparent Clock</t>
        </is>
      </c>
      <c r="BP11" s="43" t="inlineStr">
        <is>
          <t>No</t>
        </is>
      </c>
      <c r="BQ11" s="43" t="inlineStr">
        <is>
          <t>Yes</t>
        </is>
      </c>
      <c r="BR11" s="43" t="inlineStr">
        <is>
          <t>Yes</t>
        </is>
      </c>
      <c r="BS11" s="43" t="inlineStr">
        <is>
          <t>No</t>
        </is>
      </c>
      <c r="BT11" s="43" t="n">
        <v>45</v>
      </c>
      <c r="BU11" s="43" t="inlineStr">
        <is>
          <t>Side-to-side</t>
        </is>
      </c>
      <c r="BV11" s="43" t="inlineStr">
        <is>
          <t>No</t>
        </is>
      </c>
      <c r="BW11" s="43" t="n">
        <v>28</v>
      </c>
      <c r="BX11" s="48" t="n">
        <v>491282</v>
      </c>
      <c r="BY11" s="51" t="inlineStr">
        <is>
          <t>ProSAFE Limited Lifetime HW; Lifetime NBD replacement</t>
        </is>
      </c>
      <c r="BZ11" s="43" t="inlineStr">
        <is>
          <t>Cat 3</t>
        </is>
      </c>
      <c r="CA11" s="43" t="inlineStr">
        <is>
          <t>Not listed</t>
        </is>
      </c>
      <c r="CB11" s="43" t="n"/>
      <c r="CC11" s="43" t="n"/>
      <c r="CD11" s="43" t="n"/>
      <c r="CE11" s="43" t="n"/>
      <c r="CF11" s="43" t="n"/>
      <c r="CG11" s="43" t="n"/>
      <c r="CH11" s="43" t="n"/>
      <c r="CI11" s="43" t="n"/>
      <c r="CJ11" s="43" t="n"/>
      <c r="CK11" s="51" t="inlineStr">
        <is>
          <t>M4250 datasheet DS-M4250-9Nov23 (fw 13.0.4)</t>
        </is>
      </c>
      <c r="CL11" s="43" t="inlineStr">
        <is>
          <t>2026-09-27</t>
        </is>
      </c>
      <c r="CM11" s="51" t="inlineStr">
        <is>
          <t>PoE budget 720W with 1 PSU powered, 1,440W with 2. Full-PoE power: 889W (1 PSU) / 1,734W (2 PSU)</t>
        </is>
      </c>
    </row>
    <row r="12" ht="46.25" customHeight="1" s="29">
      <c r="A12" s="43" t="inlineStr">
        <is>
          <t>GSM4230PX</t>
        </is>
      </c>
      <c r="B12" s="43" t="inlineStr">
        <is>
          <t>M4250-26G4XF-PoE+</t>
        </is>
      </c>
      <c r="C12" s="43" t="inlineStr">
        <is>
          <t>M4250</t>
        </is>
      </c>
      <c r="D12" s="43" t="inlineStr">
        <is>
          <t>NETGEAR AV Line</t>
        </is>
      </c>
      <c r="E12" s="43" t="inlineStr">
        <is>
          <t>Switch</t>
        </is>
      </c>
      <c r="F12" s="43" t="inlineStr">
        <is>
          <t>Access / Edge</t>
        </is>
      </c>
      <c r="G12" s="43" t="inlineStr">
        <is>
          <t>AV UI; Engage; IT Web GUI; CLI; SNMP</t>
        </is>
      </c>
      <c r="H12" s="43" t="inlineStr">
        <is>
          <t>Active</t>
        </is>
      </c>
      <c r="I12" s="44" t="n"/>
      <c r="J12" s="45" t="n"/>
      <c r="K12" s="45" t="n"/>
      <c r="L12" s="43" t="inlineStr">
        <is>
          <t>1U rack</t>
        </is>
      </c>
      <c r="M12" s="43" t="n">
        <v>1</v>
      </c>
      <c r="N12" s="43" t="inlineStr">
        <is>
          <t>Full width</t>
        </is>
      </c>
      <c r="O12" s="43" t="n">
        <v>440</v>
      </c>
      <c r="P12" s="43" t="n">
        <v>400</v>
      </c>
      <c r="Q12" s="43" t="n">
        <v>43.2</v>
      </c>
      <c r="R12" s="46" t="n">
        <v>5.453</v>
      </c>
      <c r="S12" s="43" t="n">
        <v>26</v>
      </c>
      <c r="T12" s="43" t="n">
        <v>0</v>
      </c>
      <c r="U12" s="43" t="n">
        <v>0</v>
      </c>
      <c r="V12" s="43" t="n">
        <v>0</v>
      </c>
      <c r="W12" s="43" t="n">
        <v>0</v>
      </c>
      <c r="X12" s="43" t="n">
        <v>4</v>
      </c>
      <c r="Y12" s="43" t="n">
        <v>0</v>
      </c>
      <c r="Z12" s="43" t="n">
        <v>0</v>
      </c>
      <c r="AA12" s="43" t="n">
        <v>0</v>
      </c>
      <c r="AB12" s="43" t="n">
        <v>0</v>
      </c>
      <c r="AC12" s="43" t="n">
        <v>0</v>
      </c>
      <c r="AD12" s="43" t="n">
        <v>0</v>
      </c>
      <c r="AE12" s="43" t="n">
        <v>0</v>
      </c>
      <c r="AF12" s="47">
        <f>SUM(S12:AE12)</f>
        <v/>
      </c>
      <c r="AG12" s="43" t="n"/>
      <c r="AH12" s="43" t="n"/>
      <c r="AI12" s="43" t="n">
        <v>24</v>
      </c>
      <c r="AJ12" s="43" t="inlineStr">
        <is>
          <t>802.3at PoE+</t>
        </is>
      </c>
      <c r="AK12" s="43" t="n">
        <v>30</v>
      </c>
      <c r="AL12" s="48" t="n">
        <v>480</v>
      </c>
      <c r="AM12" s="48" t="n">
        <v>480</v>
      </c>
      <c r="AN12" s="43" t="n"/>
      <c r="AO12" s="49">
        <f>IFERROR(AM12/AI12,"")</f>
        <v/>
      </c>
      <c r="AP12" s="43" t="n"/>
      <c r="AQ12" s="43" t="n"/>
      <c r="AR12" s="43" t="n"/>
      <c r="AS12" s="43" t="inlineStr">
        <is>
          <t>Internal fixed (C14)</t>
        </is>
      </c>
      <c r="AT12" s="43" t="n"/>
      <c r="AU12" s="43" t="n">
        <v>1</v>
      </c>
      <c r="AV12" s="43" t="n">
        <v>0</v>
      </c>
      <c r="AW12" s="43" t="inlineStr">
        <is>
          <t>None (fixed)</t>
        </is>
      </c>
      <c r="AX12" s="43" t="n">
        <v>33.9</v>
      </c>
      <c r="AY12" s="43" t="n">
        <v>46.8</v>
      </c>
      <c r="AZ12" s="43" t="n">
        <v>614</v>
      </c>
      <c r="BA12" s="50">
        <f>IF(MAX(AY12,AZ12)=0,"",ROUND(MAX(AY12,AZ12)*3.412,0))</f>
        <v/>
      </c>
      <c r="BB12" s="48" t="n">
        <v>132</v>
      </c>
      <c r="BC12" s="46" t="n">
        <v>98.20999999999999</v>
      </c>
      <c r="BD12" s="43" t="n">
        <v>16</v>
      </c>
      <c r="BE12" s="43" t="n">
        <v>2</v>
      </c>
      <c r="BF12" s="43" t="inlineStr">
        <is>
          <t>Quad-core Cortex-A57 1.8GHz</t>
        </is>
      </c>
      <c r="BG12" s="48" t="n">
        <v>16384</v>
      </c>
      <c r="BH12" s="43" t="n">
        <v>4093</v>
      </c>
      <c r="BI12" s="43" t="inlineStr">
        <is>
          <t>2K IPv4 / 2K IPv6</t>
        </is>
      </c>
      <c r="BJ12" s="43" t="inlineStr">
        <is>
          <t>8 x 8 ports</t>
        </is>
      </c>
      <c r="BK12" s="51" t="inlineStr">
        <is>
          <t>Lite L3 (static, RIP, PIM-SM/DM, DHCP server)</t>
        </is>
      </c>
      <c r="BL12" s="43" t="inlineStr">
        <is>
          <t>No</t>
        </is>
      </c>
      <c r="BM12" s="43" t="n"/>
      <c r="BN12" s="43" t="inlineStr">
        <is>
          <t>Yes (256 streams; not on LAG)</t>
        </is>
      </c>
      <c r="BO12" s="43" t="inlineStr">
        <is>
          <t>PTPv2 1-step E2E Transparent Clock</t>
        </is>
      </c>
      <c r="BP12" s="43" t="inlineStr">
        <is>
          <t>No</t>
        </is>
      </c>
      <c r="BQ12" s="43" t="inlineStr">
        <is>
          <t>Yes</t>
        </is>
      </c>
      <c r="BR12" s="43" t="inlineStr">
        <is>
          <t>Yes</t>
        </is>
      </c>
      <c r="BS12" s="43" t="inlineStr">
        <is>
          <t>No</t>
        </is>
      </c>
      <c r="BT12" s="43" t="n">
        <v>45</v>
      </c>
      <c r="BU12" s="43" t="inlineStr">
        <is>
          <t>Side-to-side</t>
        </is>
      </c>
      <c r="BV12" s="43" t="inlineStr">
        <is>
          <t>Yes (up to 45W PoE, 8 ports)</t>
        </is>
      </c>
      <c r="BW12" s="43" t="n">
        <v>25</v>
      </c>
      <c r="BX12" s="48" t="n">
        <v>509057</v>
      </c>
      <c r="BY12" s="51" t="inlineStr">
        <is>
          <t>ProSAFE Limited Lifetime HW; Lifetime NBD replacement</t>
        </is>
      </c>
      <c r="BZ12" s="43" t="inlineStr">
        <is>
          <t>Cat 3</t>
        </is>
      </c>
      <c r="CA12" s="43" t="inlineStr">
        <is>
          <t>Not listed</t>
        </is>
      </c>
      <c r="CB12" s="43" t="n"/>
      <c r="CC12" s="43" t="n"/>
      <c r="CD12" s="43" t="n"/>
      <c r="CE12" s="43" t="n"/>
      <c r="CF12" s="43" t="n"/>
      <c r="CG12" s="43" t="n"/>
      <c r="CH12" s="43" t="n"/>
      <c r="CI12" s="43" t="n"/>
      <c r="CJ12" s="43" t="n"/>
      <c r="CK12" s="51" t="inlineStr">
        <is>
          <t>M4250 datasheet DS-M4250-9Nov23 (fw 13.0.4)</t>
        </is>
      </c>
      <c r="CL12" s="43" t="inlineStr">
        <is>
          <t>2026-09-27</t>
        </is>
      </c>
      <c r="CM12" s="43" t="n"/>
    </row>
    <row r="13" ht="46.25" customHeight="1" s="29">
      <c r="A13" s="43" t="inlineStr">
        <is>
          <t>GSM4248P</t>
        </is>
      </c>
      <c r="B13" s="43" t="inlineStr">
        <is>
          <t>M4250-40G8F-PoE+</t>
        </is>
      </c>
      <c r="C13" s="43" t="inlineStr">
        <is>
          <t>M4250</t>
        </is>
      </c>
      <c r="D13" s="43" t="inlineStr">
        <is>
          <t>NETGEAR AV Line</t>
        </is>
      </c>
      <c r="E13" s="43" t="inlineStr">
        <is>
          <t>Switch</t>
        </is>
      </c>
      <c r="F13" s="43" t="inlineStr">
        <is>
          <t>Access / Edge</t>
        </is>
      </c>
      <c r="G13" s="43" t="inlineStr">
        <is>
          <t>AV UI; Engage; IT Web GUI; CLI; SNMP</t>
        </is>
      </c>
      <c r="H13" s="43" t="inlineStr">
        <is>
          <t>Active</t>
        </is>
      </c>
      <c r="I13" s="44" t="n"/>
      <c r="J13" s="45" t="n"/>
      <c r="K13" s="45" t="n"/>
      <c r="L13" s="43" t="inlineStr">
        <is>
          <t>1U rack</t>
        </is>
      </c>
      <c r="M13" s="43" t="n">
        <v>1</v>
      </c>
      <c r="N13" s="43" t="inlineStr">
        <is>
          <t>Full width</t>
        </is>
      </c>
      <c r="O13" s="43" t="n">
        <v>440</v>
      </c>
      <c r="P13" s="43" t="n">
        <v>400</v>
      </c>
      <c r="Q13" s="43" t="n">
        <v>43.2</v>
      </c>
      <c r="R13" s="46" t="n">
        <v>5.852</v>
      </c>
      <c r="S13" s="43" t="n">
        <v>40</v>
      </c>
      <c r="T13" s="43" t="n">
        <v>0</v>
      </c>
      <c r="U13" s="43" t="n">
        <v>0</v>
      </c>
      <c r="V13" s="43" t="n">
        <v>8</v>
      </c>
      <c r="W13" s="43" t="n">
        <v>0</v>
      </c>
      <c r="X13" s="43" t="n">
        <v>0</v>
      </c>
      <c r="Y13" s="43" t="n">
        <v>0</v>
      </c>
      <c r="Z13" s="43" t="n">
        <v>0</v>
      </c>
      <c r="AA13" s="43" t="n">
        <v>0</v>
      </c>
      <c r="AB13" s="43" t="n">
        <v>0</v>
      </c>
      <c r="AC13" s="43" t="n">
        <v>0</v>
      </c>
      <c r="AD13" s="43" t="n">
        <v>0</v>
      </c>
      <c r="AE13" s="43" t="n">
        <v>0</v>
      </c>
      <c r="AF13" s="47">
        <f>SUM(S13:AE13)</f>
        <v/>
      </c>
      <c r="AG13" s="43" t="n"/>
      <c r="AH13" s="43" t="n"/>
      <c r="AI13" s="43" t="n">
        <v>40</v>
      </c>
      <c r="AJ13" s="43" t="inlineStr">
        <is>
          <t>802.3at PoE+</t>
        </is>
      </c>
      <c r="AK13" s="43" t="n">
        <v>30</v>
      </c>
      <c r="AL13" s="48" t="n">
        <v>480</v>
      </c>
      <c r="AM13" s="48" t="n">
        <v>480</v>
      </c>
      <c r="AN13" s="43" t="n"/>
      <c r="AO13" s="49">
        <f>IFERROR(AM13/AI13,"")</f>
        <v/>
      </c>
      <c r="AP13" s="43" t="n"/>
      <c r="AQ13" s="43" t="n"/>
      <c r="AR13" s="43" t="n"/>
      <c r="AS13" s="43" t="inlineStr">
        <is>
          <t>Internal fixed (C14)</t>
        </is>
      </c>
      <c r="AT13" s="43" t="n"/>
      <c r="AU13" s="43" t="n">
        <v>1</v>
      </c>
      <c r="AV13" s="43" t="n">
        <v>0</v>
      </c>
      <c r="AW13" s="43" t="inlineStr">
        <is>
          <t>None (fixed)</t>
        </is>
      </c>
      <c r="AX13" s="43" t="n">
        <v>46.4</v>
      </c>
      <c r="AY13" s="43" t="n">
        <v>59.5</v>
      </c>
      <c r="AZ13" s="43" t="n">
        <v>624.8</v>
      </c>
      <c r="BA13" s="50">
        <f>IF(MAX(AY13,AZ13)=0,"",ROUND(MAX(AY13,AZ13)*3.412,0))</f>
        <v/>
      </c>
      <c r="BB13" s="48" t="n">
        <v>96</v>
      </c>
      <c r="BC13" s="46" t="n">
        <v>71.42</v>
      </c>
      <c r="BD13" s="43" t="n">
        <v>32</v>
      </c>
      <c r="BE13" s="43" t="n">
        <v>2</v>
      </c>
      <c r="BF13" s="43" t="inlineStr">
        <is>
          <t>Quad-core Cortex-A57 1.8GHz</t>
        </is>
      </c>
      <c r="BG13" s="48" t="n">
        <v>16384</v>
      </c>
      <c r="BH13" s="43" t="n">
        <v>4093</v>
      </c>
      <c r="BI13" s="43" t="inlineStr">
        <is>
          <t>2K IPv4 / 2K IPv6</t>
        </is>
      </c>
      <c r="BJ13" s="43" t="inlineStr">
        <is>
          <t>8 x 8 ports</t>
        </is>
      </c>
      <c r="BK13" s="51" t="inlineStr">
        <is>
          <t>Lite L3 (static, RIP, PIM-SM/DM, DHCP server)</t>
        </is>
      </c>
      <c r="BL13" s="43" t="inlineStr">
        <is>
          <t>No</t>
        </is>
      </c>
      <c r="BM13" s="43" t="n"/>
      <c r="BN13" s="43" t="inlineStr">
        <is>
          <t>Yes (256 streams; not on LAG)</t>
        </is>
      </c>
      <c r="BO13" s="43" t="inlineStr">
        <is>
          <t>PTPv2 1-step E2E Transparent Clock</t>
        </is>
      </c>
      <c r="BP13" s="43" t="inlineStr">
        <is>
          <t>No</t>
        </is>
      </c>
      <c r="BQ13" s="43" t="inlineStr">
        <is>
          <t>Yes</t>
        </is>
      </c>
      <c r="BR13" s="43" t="inlineStr">
        <is>
          <t>Yes</t>
        </is>
      </c>
      <c r="BS13" s="43" t="inlineStr">
        <is>
          <t>No</t>
        </is>
      </c>
      <c r="BT13" s="43" t="n">
        <v>45</v>
      </c>
      <c r="BU13" s="43" t="inlineStr">
        <is>
          <t>Side-to-side</t>
        </is>
      </c>
      <c r="BV13" s="43" t="inlineStr">
        <is>
          <t>Yes (up to 30W PoE, 8 ports)</t>
        </is>
      </c>
      <c r="BW13" s="43" t="n">
        <v>30</v>
      </c>
      <c r="BX13" s="48" t="n">
        <v>341680</v>
      </c>
      <c r="BY13" s="51" t="inlineStr">
        <is>
          <t>ProSAFE Limited Lifetime HW; Lifetime NBD replacement</t>
        </is>
      </c>
      <c r="BZ13" s="43" t="inlineStr">
        <is>
          <t>Cat 3</t>
        </is>
      </c>
      <c r="CA13" s="43" t="inlineStr">
        <is>
          <t>Not listed</t>
        </is>
      </c>
      <c r="CB13" s="43" t="n"/>
      <c r="CC13" s="43" t="n"/>
      <c r="CD13" s="43" t="n"/>
      <c r="CE13" s="43" t="n"/>
      <c r="CF13" s="43" t="n"/>
      <c r="CG13" s="43" t="n"/>
      <c r="CH13" s="43" t="n"/>
      <c r="CI13" s="43" t="n"/>
      <c r="CJ13" s="43" t="n"/>
      <c r="CK13" s="51" t="inlineStr">
        <is>
          <t>M4250 datasheet DS-M4250-9Nov23 (fw 13.0.4)</t>
        </is>
      </c>
      <c r="CL13" s="43" t="inlineStr">
        <is>
          <t>2026-09-27</t>
        </is>
      </c>
      <c r="CM13" s="43" t="n"/>
    </row>
    <row r="14" ht="46.25" customHeight="1" s="29">
      <c r="A14" s="43" t="inlineStr">
        <is>
          <t>GSM4248PX</t>
        </is>
      </c>
      <c r="B14" s="43" t="inlineStr">
        <is>
          <t>M4250-40G8XF-PoE+</t>
        </is>
      </c>
      <c r="C14" s="43" t="inlineStr">
        <is>
          <t>M4250</t>
        </is>
      </c>
      <c r="D14" s="43" t="inlineStr">
        <is>
          <t>NETGEAR AV Line</t>
        </is>
      </c>
      <c r="E14" s="43" t="inlineStr">
        <is>
          <t>Switch</t>
        </is>
      </c>
      <c r="F14" s="43" t="inlineStr">
        <is>
          <t>Access / Edge</t>
        </is>
      </c>
      <c r="G14" s="43" t="inlineStr">
        <is>
          <t>AV UI; Engage; IT Web GUI; CLI; SNMP</t>
        </is>
      </c>
      <c r="H14" s="43" t="inlineStr">
        <is>
          <t>Active</t>
        </is>
      </c>
      <c r="I14" s="44" t="n"/>
      <c r="J14" s="45" t="n"/>
      <c r="K14" s="45" t="n"/>
      <c r="L14" s="43" t="inlineStr">
        <is>
          <t>1U rack</t>
        </is>
      </c>
      <c r="M14" s="43" t="n">
        <v>1</v>
      </c>
      <c r="N14" s="43" t="inlineStr">
        <is>
          <t>Full width</t>
        </is>
      </c>
      <c r="O14" s="43" t="n">
        <v>440</v>
      </c>
      <c r="P14" s="43" t="n">
        <v>400</v>
      </c>
      <c r="Q14" s="43" t="n">
        <v>43.2</v>
      </c>
      <c r="R14" s="46" t="n">
        <v>6.312</v>
      </c>
      <c r="S14" s="43" t="n">
        <v>40</v>
      </c>
      <c r="T14" s="43" t="n">
        <v>0</v>
      </c>
      <c r="U14" s="43" t="n">
        <v>0</v>
      </c>
      <c r="V14" s="43" t="n">
        <v>0</v>
      </c>
      <c r="W14" s="43" t="n">
        <v>0</v>
      </c>
      <c r="X14" s="43" t="n">
        <v>8</v>
      </c>
      <c r="Y14" s="43" t="n">
        <v>0</v>
      </c>
      <c r="Z14" s="43" t="n">
        <v>0</v>
      </c>
      <c r="AA14" s="43" t="n">
        <v>0</v>
      </c>
      <c r="AB14" s="43" t="n">
        <v>0</v>
      </c>
      <c r="AC14" s="43" t="n">
        <v>0</v>
      </c>
      <c r="AD14" s="43" t="n">
        <v>0</v>
      </c>
      <c r="AE14" s="43" t="n">
        <v>0</v>
      </c>
      <c r="AF14" s="47">
        <f>SUM(S14:AE14)</f>
        <v/>
      </c>
      <c r="AG14" s="43" t="n"/>
      <c r="AH14" s="43" t="n"/>
      <c r="AI14" s="43" t="n">
        <v>40</v>
      </c>
      <c r="AJ14" s="43" t="inlineStr">
        <is>
          <t>802.3at PoE+</t>
        </is>
      </c>
      <c r="AK14" s="43" t="n">
        <v>30</v>
      </c>
      <c r="AL14" s="48" t="n">
        <v>960</v>
      </c>
      <c r="AM14" s="48" t="n">
        <v>960</v>
      </c>
      <c r="AN14" s="43" t="n"/>
      <c r="AO14" s="49">
        <f>IFERROR(AM14/AI14,"")</f>
        <v/>
      </c>
      <c r="AP14" s="43" t="n"/>
      <c r="AQ14" s="43" t="n"/>
      <c r="AR14" s="43" t="n"/>
      <c r="AS14" s="43" t="inlineStr">
        <is>
          <t>Internal fixed (C14)</t>
        </is>
      </c>
      <c r="AT14" s="43" t="n"/>
      <c r="AU14" s="43" t="n">
        <v>1</v>
      </c>
      <c r="AV14" s="43" t="n">
        <v>0</v>
      </c>
      <c r="AW14" s="43" t="inlineStr">
        <is>
          <t>None (fixed)</t>
        </is>
      </c>
      <c r="AX14" s="43" t="n">
        <v>74.5</v>
      </c>
      <c r="AY14" s="43" t="n">
        <v>89.2</v>
      </c>
      <c r="AZ14" s="43" t="n">
        <v>1197</v>
      </c>
      <c r="BA14" s="50">
        <f>IF(MAX(AY14,AZ14)=0,"",ROUND(MAX(AY14,AZ14)*3.412,0))</f>
        <v/>
      </c>
      <c r="BB14" s="48" t="n">
        <v>240</v>
      </c>
      <c r="BC14" s="46" t="n">
        <v>178.56</v>
      </c>
      <c r="BD14" s="43" t="n">
        <v>32</v>
      </c>
      <c r="BE14" s="43" t="n">
        <v>2</v>
      </c>
      <c r="BF14" s="43" t="inlineStr">
        <is>
          <t>Quad-core Cortex-A57 1.8GHz</t>
        </is>
      </c>
      <c r="BG14" s="48" t="n">
        <v>16384</v>
      </c>
      <c r="BH14" s="43" t="n">
        <v>4093</v>
      </c>
      <c r="BI14" s="43" t="inlineStr">
        <is>
          <t>2K IPv4 / 2K IPv6</t>
        </is>
      </c>
      <c r="BJ14" s="43" t="inlineStr">
        <is>
          <t>8 x 8 ports</t>
        </is>
      </c>
      <c r="BK14" s="51" t="inlineStr">
        <is>
          <t>Lite L3 (static, RIP, PIM-SM/DM, DHCP server)</t>
        </is>
      </c>
      <c r="BL14" s="43" t="inlineStr">
        <is>
          <t>No</t>
        </is>
      </c>
      <c r="BM14" s="43" t="n"/>
      <c r="BN14" s="43" t="inlineStr">
        <is>
          <t>Yes (256 streams; not on LAG)</t>
        </is>
      </c>
      <c r="BO14" s="43" t="inlineStr">
        <is>
          <t>PTPv2 1-step E2E Transparent Clock</t>
        </is>
      </c>
      <c r="BP14" s="43" t="inlineStr">
        <is>
          <t>No</t>
        </is>
      </c>
      <c r="BQ14" s="43" t="inlineStr">
        <is>
          <t>Yes</t>
        </is>
      </c>
      <c r="BR14" s="43" t="inlineStr">
        <is>
          <t>Yes</t>
        </is>
      </c>
      <c r="BS14" s="43" t="inlineStr">
        <is>
          <t>No</t>
        </is>
      </c>
      <c r="BT14" s="43" t="n">
        <v>45</v>
      </c>
      <c r="BU14" s="43" t="inlineStr">
        <is>
          <t>Side-to-side</t>
        </is>
      </c>
      <c r="BV14" s="43" t="inlineStr">
        <is>
          <t>No</t>
        </is>
      </c>
      <c r="BW14" s="43" t="n">
        <v>29</v>
      </c>
      <c r="BX14" s="48" t="n">
        <v>487900</v>
      </c>
      <c r="BY14" s="51" t="inlineStr">
        <is>
          <t>ProSAFE Limited Lifetime HW; Lifetime NBD replacement</t>
        </is>
      </c>
      <c r="BZ14" s="43" t="inlineStr">
        <is>
          <t>Cat 3</t>
        </is>
      </c>
      <c r="CA14" s="43" t="inlineStr">
        <is>
          <t>Not listed</t>
        </is>
      </c>
      <c r="CB14" s="43" t="n"/>
      <c r="CC14" s="43" t="n"/>
      <c r="CD14" s="43" t="n"/>
      <c r="CE14" s="43" t="n"/>
      <c r="CF14" s="43" t="n"/>
      <c r="CG14" s="43" t="n"/>
      <c r="CH14" s="43" t="n"/>
      <c r="CI14" s="43" t="n"/>
      <c r="CJ14" s="43" t="n"/>
      <c r="CK14" s="51" t="inlineStr">
        <is>
          <t>M4250 datasheet DS-M4250-9Nov23 (fw 13.0.4)</t>
        </is>
      </c>
      <c r="CL14" s="43" t="inlineStr">
        <is>
          <t>2026-09-27</t>
        </is>
      </c>
      <c r="CM14" s="43" t="n"/>
    </row>
    <row r="15" ht="46.25" customHeight="1" s="29">
      <c r="A15" s="43" t="inlineStr">
        <is>
          <t>GSM4248UX</t>
        </is>
      </c>
      <c r="B15" s="43" t="inlineStr">
        <is>
          <t>M4250-40G8XF-PoE++</t>
        </is>
      </c>
      <c r="C15" s="43" t="inlineStr">
        <is>
          <t>M4250</t>
        </is>
      </c>
      <c r="D15" s="43" t="inlineStr">
        <is>
          <t>NETGEAR AV Line</t>
        </is>
      </c>
      <c r="E15" s="43" t="inlineStr">
        <is>
          <t>Switch</t>
        </is>
      </c>
      <c r="F15" s="43" t="inlineStr">
        <is>
          <t>Access / Edge</t>
        </is>
      </c>
      <c r="G15" s="43" t="inlineStr">
        <is>
          <t>AV UI; Engage; IT Web GUI; CLI; SNMP</t>
        </is>
      </c>
      <c r="H15" s="43" t="inlineStr">
        <is>
          <t>Active</t>
        </is>
      </c>
      <c r="I15" s="44" t="n"/>
      <c r="J15" s="45" t="n"/>
      <c r="K15" s="45" t="n"/>
      <c r="L15" s="43" t="inlineStr">
        <is>
          <t>2U rack</t>
        </is>
      </c>
      <c r="M15" s="43" t="n">
        <v>2</v>
      </c>
      <c r="N15" s="43" t="inlineStr">
        <is>
          <t>Full width</t>
        </is>
      </c>
      <c r="O15" s="43" t="n">
        <v>440</v>
      </c>
      <c r="P15" s="43" t="n">
        <v>350</v>
      </c>
      <c r="Q15" s="43" t="n">
        <v>86.40000000000001</v>
      </c>
      <c r="R15" s="46" t="n">
        <v>10.28</v>
      </c>
      <c r="S15" s="43" t="n">
        <v>40</v>
      </c>
      <c r="T15" s="43" t="n">
        <v>0</v>
      </c>
      <c r="U15" s="43" t="n">
        <v>0</v>
      </c>
      <c r="V15" s="43" t="n">
        <v>0</v>
      </c>
      <c r="W15" s="43" t="n">
        <v>0</v>
      </c>
      <c r="X15" s="43" t="n">
        <v>8</v>
      </c>
      <c r="Y15" s="43" t="n">
        <v>0</v>
      </c>
      <c r="Z15" s="43" t="n">
        <v>0</v>
      </c>
      <c r="AA15" s="43" t="n">
        <v>0</v>
      </c>
      <c r="AB15" s="43" t="n">
        <v>0</v>
      </c>
      <c r="AC15" s="43" t="n">
        <v>0</v>
      </c>
      <c r="AD15" s="43" t="n">
        <v>0</v>
      </c>
      <c r="AE15" s="43" t="n">
        <v>0</v>
      </c>
      <c r="AF15" s="47">
        <f>SUM(S15:AE15)</f>
        <v/>
      </c>
      <c r="AG15" s="43" t="n"/>
      <c r="AH15" s="43" t="n"/>
      <c r="AI15" s="43" t="n">
        <v>40</v>
      </c>
      <c r="AJ15" s="43" t="inlineStr">
        <is>
          <t>802.3bt Ultra90 PoE++</t>
        </is>
      </c>
      <c r="AK15" s="43" t="n">
        <v>90</v>
      </c>
      <c r="AL15" s="48" t="n">
        <v>720</v>
      </c>
      <c r="AM15" s="48" t="n">
        <v>2880</v>
      </c>
      <c r="AN15" s="43" t="n"/>
      <c r="AO15" s="49">
        <f>IFERROR(AM15/AI15,"")</f>
        <v/>
      </c>
      <c r="AP15" s="43" t="n"/>
      <c r="AQ15" s="43" t="n"/>
      <c r="AR15" s="43" t="n"/>
      <c r="AS15" s="43" t="inlineStr">
        <is>
          <t>3x internal fixed (C14), RPS/EPS</t>
        </is>
      </c>
      <c r="AT15" s="43" t="n"/>
      <c r="AU15" s="43" t="n">
        <v>3</v>
      </c>
      <c r="AV15" s="43" t="n">
        <v>0</v>
      </c>
      <c r="AW15" s="43" t="inlineStr">
        <is>
          <t>None (fixed)</t>
        </is>
      </c>
      <c r="AX15" s="43" t="n">
        <v>68.5</v>
      </c>
      <c r="AY15" s="43" t="n">
        <v>82.59999999999999</v>
      </c>
      <c r="AZ15" s="43" t="n">
        <v>3523</v>
      </c>
      <c r="BA15" s="50">
        <f>IF(MAX(AY15,AZ15)=0,"",ROUND(MAX(AY15,AZ15)*3.412,0))</f>
        <v/>
      </c>
      <c r="BB15" s="48" t="n">
        <v>240</v>
      </c>
      <c r="BC15" s="46" t="n">
        <v>178.56</v>
      </c>
      <c r="BD15" s="43" t="n">
        <v>32</v>
      </c>
      <c r="BE15" s="43" t="n">
        <v>2</v>
      </c>
      <c r="BF15" s="43" t="inlineStr">
        <is>
          <t>Quad-core Cortex-A57 1.8GHz</t>
        </is>
      </c>
      <c r="BG15" s="48" t="n">
        <v>16384</v>
      </c>
      <c r="BH15" s="43" t="n">
        <v>4093</v>
      </c>
      <c r="BI15" s="43" t="inlineStr">
        <is>
          <t>2K IPv4 / 2K IPv6</t>
        </is>
      </c>
      <c r="BJ15" s="43" t="inlineStr">
        <is>
          <t>8 x 8 ports</t>
        </is>
      </c>
      <c r="BK15" s="51" t="inlineStr">
        <is>
          <t>Lite L3 (static, RIP, PIM-SM/DM, DHCP server)</t>
        </is>
      </c>
      <c r="BL15" s="43" t="inlineStr">
        <is>
          <t>No</t>
        </is>
      </c>
      <c r="BM15" s="43" t="n"/>
      <c r="BN15" s="43" t="inlineStr">
        <is>
          <t>Yes (256 streams; not on LAG)</t>
        </is>
      </c>
      <c r="BO15" s="43" t="inlineStr">
        <is>
          <t>PTPv2 1-step E2E Transparent Clock</t>
        </is>
      </c>
      <c r="BP15" s="43" t="inlineStr">
        <is>
          <t>No</t>
        </is>
      </c>
      <c r="BQ15" s="43" t="inlineStr">
        <is>
          <t>Yes</t>
        </is>
      </c>
      <c r="BR15" s="43" t="inlineStr">
        <is>
          <t>Yes</t>
        </is>
      </c>
      <c r="BS15" s="43" t="inlineStr">
        <is>
          <t>No</t>
        </is>
      </c>
      <c r="BT15" s="43" t="n">
        <v>45</v>
      </c>
      <c r="BU15" s="43" t="inlineStr">
        <is>
          <t>Side-to-side</t>
        </is>
      </c>
      <c r="BV15" s="43" t="inlineStr">
        <is>
          <t>No</t>
        </is>
      </c>
      <c r="BW15" s="43" t="n">
        <v>30</v>
      </c>
      <c r="BX15" s="48" t="n">
        <v>304916</v>
      </c>
      <c r="BY15" s="51" t="inlineStr">
        <is>
          <t>ProSAFE Limited Lifetime HW; Lifetime NBD replacement</t>
        </is>
      </c>
      <c r="BZ15" s="43" t="inlineStr">
        <is>
          <t>Cat 3</t>
        </is>
      </c>
      <c r="CA15" s="43" t="inlineStr">
        <is>
          <t>Not listed</t>
        </is>
      </c>
      <c r="CB15" s="43" t="n"/>
      <c r="CC15" s="43" t="n"/>
      <c r="CD15" s="43" t="n"/>
      <c r="CE15" s="43" t="n"/>
      <c r="CF15" s="43" t="n"/>
      <c r="CG15" s="43" t="n"/>
      <c r="CH15" s="43" t="n"/>
      <c r="CI15" s="43" t="n"/>
      <c r="CJ15" s="43" t="n"/>
      <c r="CK15" s="51" t="inlineStr">
        <is>
          <t>M4250 datasheet DS-M4250-9Nov23 (fw 13.0.4)</t>
        </is>
      </c>
      <c r="CL15" s="43" t="inlineStr">
        <is>
          <t>2026-09-27</t>
        </is>
      </c>
      <c r="CM15" s="51" t="inlineStr">
        <is>
          <t>PoE budget 720W (1 PSU) / 1,650W (2 PSU) / 2,880W (3 PSU). Full-PoE power: 912 / 1,998 / 3,523W</t>
        </is>
      </c>
    </row>
    <row r="16" ht="46.25" customHeight="1" s="29">
      <c r="A16" s="43" t="inlineStr">
        <is>
          <t>MSM4214X</t>
        </is>
      </c>
      <c r="B16" s="43" t="inlineStr">
        <is>
          <t>M4250-12M2XF</t>
        </is>
      </c>
      <c r="C16" s="43" t="inlineStr">
        <is>
          <t>M4250</t>
        </is>
      </c>
      <c r="D16" s="43" t="inlineStr">
        <is>
          <t>NETGEAR AV Line</t>
        </is>
      </c>
      <c r="E16" s="43" t="inlineStr">
        <is>
          <t>Switch</t>
        </is>
      </c>
      <c r="F16" s="43" t="inlineStr">
        <is>
          <t>Aggregation</t>
        </is>
      </c>
      <c r="G16" s="43" t="inlineStr">
        <is>
          <t>AV UI; Engage; IT Web GUI; CLI; SNMP</t>
        </is>
      </c>
      <c r="H16" s="43" t="inlineStr">
        <is>
          <t>Active</t>
        </is>
      </c>
      <c r="I16" s="44" t="n"/>
      <c r="J16" s="45" t="n"/>
      <c r="K16" s="45" t="n"/>
      <c r="L16" s="43" t="inlineStr">
        <is>
          <t>1U rack</t>
        </is>
      </c>
      <c r="M16" s="43" t="n">
        <v>1</v>
      </c>
      <c r="N16" s="43" t="inlineStr">
        <is>
          <t>Full width</t>
        </is>
      </c>
      <c r="O16" s="43" t="n">
        <v>440</v>
      </c>
      <c r="P16" s="43" t="n">
        <v>100</v>
      </c>
      <c r="Q16" s="43" t="n">
        <v>43.2</v>
      </c>
      <c r="R16" s="46" t="n">
        <v>1.745</v>
      </c>
      <c r="S16" s="43" t="n">
        <v>0</v>
      </c>
      <c r="T16" s="43" t="n">
        <v>12</v>
      </c>
      <c r="U16" s="43" t="n">
        <v>0</v>
      </c>
      <c r="V16" s="43" t="n">
        <v>0</v>
      </c>
      <c r="W16" s="43" t="n">
        <v>0</v>
      </c>
      <c r="X16" s="43" t="n">
        <v>2</v>
      </c>
      <c r="Y16" s="43" t="n">
        <v>0</v>
      </c>
      <c r="Z16" s="43" t="n">
        <v>0</v>
      </c>
      <c r="AA16" s="43" t="n">
        <v>0</v>
      </c>
      <c r="AB16" s="43" t="n">
        <v>0</v>
      </c>
      <c r="AC16" s="43" t="n">
        <v>0</v>
      </c>
      <c r="AD16" s="43" t="n">
        <v>0</v>
      </c>
      <c r="AE16" s="43" t="n">
        <v>0</v>
      </c>
      <c r="AF16" s="47">
        <f>SUM(S16:AE16)</f>
        <v/>
      </c>
      <c r="AG16" s="43" t="n"/>
      <c r="AH16" s="43" t="n"/>
      <c r="AI16" s="43" t="n">
        <v>0</v>
      </c>
      <c r="AJ16" s="43" t="inlineStr">
        <is>
          <t>None</t>
        </is>
      </c>
      <c r="AK16" s="43" t="n"/>
      <c r="AL16" s="48" t="n"/>
      <c r="AM16" s="48" t="n"/>
      <c r="AN16" s="43" t="n"/>
      <c r="AO16" s="49">
        <f>IFERROR(AM16/AI16,"")</f>
        <v/>
      </c>
      <c r="AP16" s="43" t="n"/>
      <c r="AQ16" s="43" t="n"/>
      <c r="AR16" s="43" t="n"/>
      <c r="AS16" s="43" t="inlineStr">
        <is>
          <t>Internal fixed (C14)</t>
        </is>
      </c>
      <c r="AT16" s="43" t="n"/>
      <c r="AU16" s="43" t="n">
        <v>1</v>
      </c>
      <c r="AV16" s="43" t="n">
        <v>0</v>
      </c>
      <c r="AW16" s="43" t="inlineStr">
        <is>
          <t>None (fixed)</t>
        </is>
      </c>
      <c r="AX16" s="43" t="n">
        <v>14.1</v>
      </c>
      <c r="AY16" s="43" t="n">
        <v>37.9</v>
      </c>
      <c r="AZ16" s="43" t="n"/>
      <c r="BA16" s="50">
        <f>IF(MAX(AY16,AZ16)=0,"",ROUND(MAX(AY16,AZ16)*3.412,0))</f>
        <v/>
      </c>
      <c r="BB16" s="48" t="n">
        <v>100</v>
      </c>
      <c r="BC16" s="46" t="n">
        <v>74.40000000000001</v>
      </c>
      <c r="BD16" s="43" t="n">
        <v>16</v>
      </c>
      <c r="BE16" s="43" t="n">
        <v>2</v>
      </c>
      <c r="BF16" s="43" t="inlineStr">
        <is>
          <t>ARM A9 1.25GHz</t>
        </is>
      </c>
      <c r="BG16" s="48" t="n">
        <v>16384</v>
      </c>
      <c r="BH16" s="43" t="n">
        <v>4093</v>
      </c>
      <c r="BI16" s="43" t="inlineStr">
        <is>
          <t>2K IPv4 / 2K IPv6</t>
        </is>
      </c>
      <c r="BJ16" s="43" t="inlineStr">
        <is>
          <t>8 x 8 ports</t>
        </is>
      </c>
      <c r="BK16" s="51" t="inlineStr">
        <is>
          <t>Lite L3 (static, RIP, PIM-SM/DM, DHCP server)</t>
        </is>
      </c>
      <c r="BL16" s="43" t="inlineStr">
        <is>
          <t>No</t>
        </is>
      </c>
      <c r="BM16" s="43" t="n"/>
      <c r="BN16" s="43" t="inlineStr">
        <is>
          <t>Yes (256 streams; not on LAG)</t>
        </is>
      </c>
      <c r="BO16" s="43" t="inlineStr">
        <is>
          <t>PTPv2 1-step E2E Transparent Clock</t>
        </is>
      </c>
      <c r="BP16" s="43" t="inlineStr">
        <is>
          <t>No</t>
        </is>
      </c>
      <c r="BQ16" s="43" t="inlineStr">
        <is>
          <t>Yes</t>
        </is>
      </c>
      <c r="BR16" s="43" t="inlineStr">
        <is>
          <t>Yes</t>
        </is>
      </c>
      <c r="BS16" s="43" t="inlineStr">
        <is>
          <t>No</t>
        </is>
      </c>
      <c r="BT16" s="43" t="n">
        <v>50</v>
      </c>
      <c r="BU16" s="43" t="inlineStr">
        <is>
          <t>Side-to-side</t>
        </is>
      </c>
      <c r="BV16" s="43" t="inlineStr">
        <is>
          <t>Yes (8x2.5G, no SFP+)</t>
        </is>
      </c>
      <c r="BW16" s="43" t="n">
        <v>28.5</v>
      </c>
      <c r="BX16" s="48" t="n">
        <v>720892</v>
      </c>
      <c r="BY16" s="51" t="inlineStr">
        <is>
          <t>ProSAFE Limited Lifetime HW; Lifetime NBD replacement</t>
        </is>
      </c>
      <c r="BZ16" s="43" t="inlineStr">
        <is>
          <t>Cat 2</t>
        </is>
      </c>
      <c r="CA16" s="43" t="inlineStr">
        <is>
          <t>Not listed</t>
        </is>
      </c>
      <c r="CB16" s="43" t="n"/>
      <c r="CC16" s="43" t="n"/>
      <c r="CD16" s="43" t="n"/>
      <c r="CE16" s="43" t="n"/>
      <c r="CF16" s="43" t="n"/>
      <c r="CG16" s="43" t="n"/>
      <c r="CH16" s="43" t="n"/>
      <c r="CI16" s="43" t="n"/>
      <c r="CJ16" s="43" t="n"/>
      <c r="CK16" s="51" t="inlineStr">
        <is>
          <t>M4250 datasheet DS-M4250-9Nov23 (fw 13.0.4)</t>
        </is>
      </c>
      <c r="CL16" s="43" t="inlineStr">
        <is>
          <t>2026-09-27</t>
        </is>
      </c>
      <c r="CM16" s="43" t="n"/>
    </row>
    <row r="17" ht="46.25" customHeight="1" s="29">
      <c r="A17" s="43" t="inlineStr">
        <is>
          <t>XSM4216F</t>
        </is>
      </c>
      <c r="B17" s="43" t="inlineStr">
        <is>
          <t>M4250-16XF</t>
        </is>
      </c>
      <c r="C17" s="43" t="inlineStr">
        <is>
          <t>M4250</t>
        </is>
      </c>
      <c r="D17" s="43" t="inlineStr">
        <is>
          <t>NETGEAR AV Line</t>
        </is>
      </c>
      <c r="E17" s="43" t="inlineStr">
        <is>
          <t>Switch</t>
        </is>
      </c>
      <c r="F17" s="43" t="inlineStr">
        <is>
          <t>Aggregation</t>
        </is>
      </c>
      <c r="G17" s="43" t="inlineStr">
        <is>
          <t>AV UI; Engage; IT Web GUI; CLI; SNMP</t>
        </is>
      </c>
      <c r="H17" s="43" t="inlineStr">
        <is>
          <t>Active</t>
        </is>
      </c>
      <c r="I17" s="44" t="n"/>
      <c r="J17" s="45" t="n"/>
      <c r="K17" s="45" t="n"/>
      <c r="L17" s="43" t="inlineStr">
        <is>
          <t>1U rack</t>
        </is>
      </c>
      <c r="M17" s="43" t="n">
        <v>1</v>
      </c>
      <c r="N17" s="43" t="inlineStr">
        <is>
          <t>Full width</t>
        </is>
      </c>
      <c r="O17" s="43" t="n">
        <v>440</v>
      </c>
      <c r="P17" s="43" t="n">
        <v>200</v>
      </c>
      <c r="Q17" s="43" t="n">
        <v>43.2</v>
      </c>
      <c r="R17" s="46" t="n">
        <v>2.8</v>
      </c>
      <c r="S17" s="43" t="n">
        <v>0</v>
      </c>
      <c r="T17" s="43" t="n">
        <v>0</v>
      </c>
      <c r="U17" s="43" t="n">
        <v>0</v>
      </c>
      <c r="V17" s="43" t="n">
        <v>0</v>
      </c>
      <c r="W17" s="43" t="n">
        <v>0</v>
      </c>
      <c r="X17" s="43" t="n">
        <v>16</v>
      </c>
      <c r="Y17" s="43" t="n">
        <v>0</v>
      </c>
      <c r="Z17" s="43" t="n">
        <v>0</v>
      </c>
      <c r="AA17" s="43" t="n">
        <v>0</v>
      </c>
      <c r="AB17" s="43" t="n">
        <v>0</v>
      </c>
      <c r="AC17" s="43" t="n">
        <v>0</v>
      </c>
      <c r="AD17" s="43" t="n">
        <v>0</v>
      </c>
      <c r="AE17" s="43" t="n">
        <v>0</v>
      </c>
      <c r="AF17" s="47">
        <f>SUM(S17:AE17)</f>
        <v/>
      </c>
      <c r="AG17" s="43" t="n">
        <v>12</v>
      </c>
      <c r="AH17" s="43" t="inlineStr">
        <is>
          <t>1G SFP only on ports 1-12</t>
        </is>
      </c>
      <c r="AI17" s="43" t="n">
        <v>0</v>
      </c>
      <c r="AJ17" s="43" t="inlineStr">
        <is>
          <t>None</t>
        </is>
      </c>
      <c r="AK17" s="43" t="n"/>
      <c r="AL17" s="48" t="n"/>
      <c r="AM17" s="48" t="n"/>
      <c r="AN17" s="43" t="n"/>
      <c r="AO17" s="49">
        <f>IFERROR(AM17/AI17,"")</f>
        <v/>
      </c>
      <c r="AP17" s="43" t="n"/>
      <c r="AQ17" s="43" t="n"/>
      <c r="AR17" s="43" t="n"/>
      <c r="AS17" s="43" t="inlineStr">
        <is>
          <t>Internal fixed (C14)</t>
        </is>
      </c>
      <c r="AT17" s="43" t="n"/>
      <c r="AU17" s="43" t="n">
        <v>1</v>
      </c>
      <c r="AV17" s="43" t="n">
        <v>0</v>
      </c>
      <c r="AW17" s="43" t="inlineStr">
        <is>
          <t>None (fixed)</t>
        </is>
      </c>
      <c r="AX17" s="43" t="n">
        <v>19.27</v>
      </c>
      <c r="AY17" s="43" t="n">
        <v>47.84</v>
      </c>
      <c r="AZ17" s="43" t="n"/>
      <c r="BA17" s="50">
        <f>IF(MAX(AY17,AZ17)=0,"",ROUND(MAX(AY17,AZ17)*3.412,0))</f>
        <v/>
      </c>
      <c r="BB17" s="48" t="n">
        <v>320</v>
      </c>
      <c r="BC17" s="46" t="n">
        <v>238.08</v>
      </c>
      <c r="BD17" s="43" t="n">
        <v>16</v>
      </c>
      <c r="BE17" s="43" t="n">
        <v>2</v>
      </c>
      <c r="BF17" s="43" t="inlineStr">
        <is>
          <t>ARM A9 1.25GHz</t>
        </is>
      </c>
      <c r="BG17" s="48" t="n">
        <v>16384</v>
      </c>
      <c r="BH17" s="43" t="n">
        <v>4093</v>
      </c>
      <c r="BI17" s="43" t="inlineStr">
        <is>
          <t>2K IPv4 / 2K IPv6</t>
        </is>
      </c>
      <c r="BJ17" s="43" t="inlineStr">
        <is>
          <t>8 x 8 ports</t>
        </is>
      </c>
      <c r="BK17" s="51" t="inlineStr">
        <is>
          <t>Lite L3 (static, RIP, PIM-SM/DM, DHCP server)</t>
        </is>
      </c>
      <c r="BL17" s="43" t="inlineStr">
        <is>
          <t>No</t>
        </is>
      </c>
      <c r="BM17" s="43" t="n"/>
      <c r="BN17" s="43" t="inlineStr">
        <is>
          <t>Yes (256 streams; not on LAG)</t>
        </is>
      </c>
      <c r="BO17" s="43" t="inlineStr">
        <is>
          <t>PTPv2 1-step E2E Transparent Clock</t>
        </is>
      </c>
      <c r="BP17" s="43" t="inlineStr">
        <is>
          <t>No</t>
        </is>
      </c>
      <c r="BQ17" s="43" t="inlineStr">
        <is>
          <t>Yes</t>
        </is>
      </c>
      <c r="BR17" s="43" t="inlineStr">
        <is>
          <t>Yes</t>
        </is>
      </c>
      <c r="BS17" s="43" t="inlineStr">
        <is>
          <t>No</t>
        </is>
      </c>
      <c r="BT17" s="43" t="n">
        <v>50</v>
      </c>
      <c r="BU17" s="43" t="inlineStr">
        <is>
          <t>Side-to-side</t>
        </is>
      </c>
      <c r="BV17" s="43" t="inlineStr">
        <is>
          <t>Yes (8x SFP+)</t>
        </is>
      </c>
      <c r="BW17" s="43" t="n">
        <v>27.44</v>
      </c>
      <c r="BX17" s="48" t="n">
        <v>844633</v>
      </c>
      <c r="BY17" s="51" t="inlineStr">
        <is>
          <t>ProSAFE Limited Lifetime HW; Lifetime NBD replacement</t>
        </is>
      </c>
      <c r="BZ17" s="43" t="inlineStr">
        <is>
          <t>Cat 2</t>
        </is>
      </c>
      <c r="CA17" s="43" t="inlineStr">
        <is>
          <t>Not listed</t>
        </is>
      </c>
      <c r="CB17" s="43" t="n"/>
      <c r="CC17" s="43" t="n"/>
      <c r="CD17" s="43" t="n"/>
      <c r="CE17" s="43" t="n"/>
      <c r="CF17" s="43" t="n"/>
      <c r="CG17" s="43" t="n"/>
      <c r="CH17" s="43" t="n"/>
      <c r="CI17" s="43" t="n"/>
      <c r="CJ17" s="43" t="n"/>
      <c r="CK17" s="51" t="inlineStr">
        <is>
          <t>M4250 datasheet DS-M4250-9Nov23 (fw 13.0.4)</t>
        </is>
      </c>
      <c r="CL17" s="43" t="inlineStr">
        <is>
          <t>2026-09-27</t>
        </is>
      </c>
      <c r="CM17" s="51" t="inlineStr">
        <is>
          <t>Weight: 1.74 kg on product page vs 2.80 kg in spec table - verify</t>
        </is>
      </c>
    </row>
    <row r="18" ht="46.25" customHeight="1" s="29">
      <c r="A18" s="43" t="inlineStr">
        <is>
          <t>GSM4328</t>
        </is>
      </c>
      <c r="B18" s="43" t="inlineStr">
        <is>
          <t>M4350-24G4XF</t>
        </is>
      </c>
      <c r="C18" s="43" t="inlineStr">
        <is>
          <t>M4350</t>
        </is>
      </c>
      <c r="D18" s="43" t="inlineStr">
        <is>
          <t>NETGEAR AV and IT</t>
        </is>
      </c>
      <c r="E18" s="43" t="inlineStr">
        <is>
          <t>Switch</t>
        </is>
      </c>
      <c r="F18" s="43" t="inlineStr">
        <is>
          <t>Access / Edge</t>
        </is>
      </c>
      <c r="G18" s="43" t="inlineStr">
        <is>
          <t>AV UI; Engage; IT Web GUI; CLI; SNMP</t>
        </is>
      </c>
      <c r="H18" s="43" t="inlineStr">
        <is>
          <t>Active</t>
        </is>
      </c>
      <c r="I18" s="44" t="n"/>
      <c r="J18" s="45" t="n"/>
      <c r="K18" s="45" t="n"/>
      <c r="L18" s="43" t="inlineStr">
        <is>
          <t>1U rack</t>
        </is>
      </c>
      <c r="M18" s="43" t="n">
        <v>1</v>
      </c>
      <c r="N18" s="43" t="inlineStr">
        <is>
          <t>Full width</t>
        </is>
      </c>
      <c r="O18" s="43" t="n">
        <v>440</v>
      </c>
      <c r="P18" s="43" t="n">
        <v>400</v>
      </c>
      <c r="Q18" s="43" t="n">
        <v>43.2</v>
      </c>
      <c r="R18" s="46" t="n">
        <v>6.41</v>
      </c>
      <c r="S18" s="43" t="n">
        <v>24</v>
      </c>
      <c r="T18" s="43" t="n">
        <v>0</v>
      </c>
      <c r="U18" s="43" t="n">
        <v>0</v>
      </c>
      <c r="V18" s="43" t="n">
        <v>0</v>
      </c>
      <c r="W18" s="43" t="n">
        <v>0</v>
      </c>
      <c r="X18" s="43" t="n">
        <v>4</v>
      </c>
      <c r="Y18" s="43" t="n">
        <v>0</v>
      </c>
      <c r="Z18" s="43" t="n">
        <v>0</v>
      </c>
      <c r="AA18" s="43" t="n">
        <v>0</v>
      </c>
      <c r="AB18" s="43" t="n">
        <v>0</v>
      </c>
      <c r="AC18" s="43" t="n">
        <v>0</v>
      </c>
      <c r="AD18" s="43" t="n">
        <v>0</v>
      </c>
      <c r="AE18" s="43" t="n">
        <v>0</v>
      </c>
      <c r="AF18" s="47">
        <f>SUM(S18:AE18)</f>
        <v/>
      </c>
      <c r="AG18" s="43" t="n"/>
      <c r="AH18" s="43" t="n"/>
      <c r="AI18" s="43" t="n">
        <v>24</v>
      </c>
      <c r="AJ18" s="43" t="inlineStr">
        <is>
          <t>802.3at PoE+</t>
        </is>
      </c>
      <c r="AK18" s="43" t="n">
        <v>30</v>
      </c>
      <c r="AL18" s="48" t="n">
        <v>648</v>
      </c>
      <c r="AM18" s="48" t="n">
        <v>720</v>
      </c>
      <c r="AN18" s="43" t="n">
        <v>648</v>
      </c>
      <c r="AO18" s="49">
        <f>IFERROR(AM18/AI18,"")</f>
        <v/>
      </c>
      <c r="AP18" s="43" t="n"/>
      <c r="AQ18" s="43" t="n"/>
      <c r="AR18" s="43" t="n"/>
      <c r="AS18" s="43" t="inlineStr">
        <is>
          <t>Internal fixed + modular slots</t>
        </is>
      </c>
      <c r="AT18" s="43" t="n">
        <v>880</v>
      </c>
      <c r="AU18" s="43" t="n">
        <v>1</v>
      </c>
      <c r="AV18" s="43" t="n">
        <v>1</v>
      </c>
      <c r="AW18" s="51" t="inlineStr">
        <is>
          <t>A: APS350W / APS600Wv2 / APS920W / APS2000W</t>
        </is>
      </c>
      <c r="AX18" s="43" t="n">
        <v>32</v>
      </c>
      <c r="AY18" s="43" t="n">
        <v>80</v>
      </c>
      <c r="AZ18" s="43" t="n">
        <v>871.2</v>
      </c>
      <c r="BA18" s="50">
        <f>IF(MAX(AY18,AZ18)=0,"",ROUND(MAX(AY18,AZ18)*3.412,0))</f>
        <v/>
      </c>
      <c r="BB18" s="48" t="n">
        <v>128</v>
      </c>
      <c r="BC18" s="46" t="n">
        <v>95.23</v>
      </c>
      <c r="BD18" s="43" t="n">
        <v>16</v>
      </c>
      <c r="BE18" s="43" t="n">
        <v>2</v>
      </c>
      <c r="BF18" s="43" t="inlineStr">
        <is>
          <t>Quad-core Cortex-A57 1.8GHz</t>
        </is>
      </c>
      <c r="BG18" s="48" t="n">
        <v>16384</v>
      </c>
      <c r="BH18" s="43" t="n">
        <v>4093</v>
      </c>
      <c r="BI18" s="43" t="inlineStr">
        <is>
          <t>2K IPv4 / 2K IPv6</t>
        </is>
      </c>
      <c r="BJ18" s="43" t="n"/>
      <c r="BK18" s="51" t="inlineStr">
        <is>
          <t>Full L3 (static, RIP, OSPF, VRRP, PIM-SM/DM, PBR)</t>
        </is>
      </c>
      <c r="BL18" s="43" t="inlineStr">
        <is>
          <t>Yes (NSF)</t>
        </is>
      </c>
      <c r="BM18" s="43" t="n">
        <v>8</v>
      </c>
      <c r="BN18" s="43" t="inlineStr">
        <is>
          <t>Yes (exclusive with stacking)</t>
        </is>
      </c>
      <c r="BO18" s="43" t="inlineStr">
        <is>
          <t>PTPv2 1-step E2E Transparent Clock</t>
        </is>
      </c>
      <c r="BP18" s="43" t="inlineStr">
        <is>
          <t>No</t>
        </is>
      </c>
      <c r="BQ18" s="43" t="inlineStr">
        <is>
          <t>Yes</t>
        </is>
      </c>
      <c r="BR18" s="43" t="inlineStr">
        <is>
          <t>Yes</t>
        </is>
      </c>
      <c r="BS18" s="43" t="inlineStr">
        <is>
          <t>No</t>
        </is>
      </c>
      <c r="BT18" s="43" t="n">
        <v>45</v>
      </c>
      <c r="BU18" s="43" t="inlineStr">
        <is>
          <t>Front-to-back</t>
        </is>
      </c>
      <c r="BV18" s="43" t="inlineStr">
        <is>
          <t>No (Quiet / Cool modes)</t>
        </is>
      </c>
      <c r="BW18" s="43" t="n">
        <v>33</v>
      </c>
      <c r="BX18" s="48" t="n">
        <v>782376</v>
      </c>
      <c r="BY18" s="51" t="inlineStr">
        <is>
          <t>ProSAFE Limited Lifetime HW; Lifetime NBD replacement</t>
        </is>
      </c>
      <c r="BZ18" s="43" t="inlineStr">
        <is>
          <t>Cat 3</t>
        </is>
      </c>
      <c r="CA18" s="43" t="inlineStr">
        <is>
          <t>Not listed</t>
        </is>
      </c>
      <c r="CB18" s="43" t="n"/>
      <c r="CC18" s="43" t="n"/>
      <c r="CD18" s="43" t="n"/>
      <c r="CE18" s="43" t="n"/>
      <c r="CF18" s="43" t="n"/>
      <c r="CG18" s="43" t="n"/>
      <c r="CH18" s="43" t="n"/>
      <c r="CI18" s="43" t="n"/>
      <c r="CJ18" s="43" t="n"/>
      <c r="CK18" s="51" t="inlineStr">
        <is>
          <t>M4350 datasheet DS-M4350-30May25 (fw 14.0) [file: M3450_Datasheet_30May25.pdf]</t>
        </is>
      </c>
      <c r="CL18" s="43" t="inlineStr">
        <is>
          <t>2026-09-27</t>
        </is>
      </c>
      <c r="CM18" s="43" t="n"/>
    </row>
    <row r="19" ht="46.25" customHeight="1" s="29">
      <c r="A19" s="43" t="inlineStr">
        <is>
          <t>GSM4352</t>
        </is>
      </c>
      <c r="B19" s="43" t="inlineStr">
        <is>
          <t>M4350-48G4XF</t>
        </is>
      </c>
      <c r="C19" s="43" t="inlineStr">
        <is>
          <t>M4350</t>
        </is>
      </c>
      <c r="D19" s="43" t="inlineStr">
        <is>
          <t>NETGEAR AV and IT</t>
        </is>
      </c>
      <c r="E19" s="43" t="inlineStr">
        <is>
          <t>Switch</t>
        </is>
      </c>
      <c r="F19" s="43" t="inlineStr">
        <is>
          <t>Access / Edge</t>
        </is>
      </c>
      <c r="G19" s="43" t="inlineStr">
        <is>
          <t>AV UI; Engage; IT Web GUI; CLI; SNMP</t>
        </is>
      </c>
      <c r="H19" s="43" t="inlineStr">
        <is>
          <t>Active</t>
        </is>
      </c>
      <c r="I19" s="44" t="n"/>
      <c r="J19" s="45" t="n"/>
      <c r="K19" s="45" t="n"/>
      <c r="L19" s="43" t="inlineStr">
        <is>
          <t>1U rack</t>
        </is>
      </c>
      <c r="M19" s="43" t="n">
        <v>1</v>
      </c>
      <c r="N19" s="43" t="inlineStr">
        <is>
          <t>Full width</t>
        </is>
      </c>
      <c r="O19" s="43" t="n">
        <v>440</v>
      </c>
      <c r="P19" s="43" t="n">
        <v>400</v>
      </c>
      <c r="Q19" s="43" t="n">
        <v>43.2</v>
      </c>
      <c r="R19" s="46" t="n">
        <v>7.19</v>
      </c>
      <c r="S19" s="43" t="n">
        <v>48</v>
      </c>
      <c r="T19" s="43" t="n">
        <v>0</v>
      </c>
      <c r="U19" s="43" t="n">
        <v>0</v>
      </c>
      <c r="V19" s="43" t="n">
        <v>0</v>
      </c>
      <c r="W19" s="43" t="n">
        <v>0</v>
      </c>
      <c r="X19" s="43" t="n">
        <v>4</v>
      </c>
      <c r="Y19" s="43" t="n">
        <v>0</v>
      </c>
      <c r="Z19" s="43" t="n">
        <v>0</v>
      </c>
      <c r="AA19" s="43" t="n">
        <v>0</v>
      </c>
      <c r="AB19" s="43" t="n">
        <v>0</v>
      </c>
      <c r="AC19" s="43" t="n">
        <v>0</v>
      </c>
      <c r="AD19" s="43" t="n">
        <v>0</v>
      </c>
      <c r="AE19" s="43" t="n">
        <v>0</v>
      </c>
      <c r="AF19" s="47">
        <f>SUM(S19:AE19)</f>
        <v/>
      </c>
      <c r="AG19" s="43" t="n"/>
      <c r="AH19" s="43" t="n"/>
      <c r="AI19" s="43" t="n">
        <v>48</v>
      </c>
      <c r="AJ19" s="43" t="inlineStr">
        <is>
          <t>802.3at PoE+</t>
        </is>
      </c>
      <c r="AK19" s="43" t="n">
        <v>30</v>
      </c>
      <c r="AL19" s="48" t="n">
        <v>236</v>
      </c>
      <c r="AM19" s="48" t="n">
        <v>1440</v>
      </c>
      <c r="AN19" s="43" t="n">
        <v>1440</v>
      </c>
      <c r="AO19" s="49">
        <f>IFERROR(AM19/AI19,"")</f>
        <v/>
      </c>
      <c r="AP19" s="43" t="n"/>
      <c r="AQ19" s="43" t="n"/>
      <c r="AR19" s="43" t="n"/>
      <c r="AS19" s="43" t="inlineStr">
        <is>
          <t>Internal fixed + modular slots</t>
        </is>
      </c>
      <c r="AT19" s="43" t="n">
        <v>550</v>
      </c>
      <c r="AU19" s="43" t="n">
        <v>1</v>
      </c>
      <c r="AV19" s="43" t="n">
        <v>2</v>
      </c>
      <c r="AW19" s="51" t="inlineStr">
        <is>
          <t>A: APS350W / APS600Wv2 / APS920W / APS2000W</t>
        </is>
      </c>
      <c r="AX19" s="43" t="n">
        <v>48.5</v>
      </c>
      <c r="AY19" s="43" t="n">
        <v>99</v>
      </c>
      <c r="AZ19" s="43" t="n">
        <v>1618.3</v>
      </c>
      <c r="BA19" s="50">
        <f>IF(MAX(AY19,AZ19)=0,"",ROUND(MAX(AY19,AZ19)*3.412,0))</f>
        <v/>
      </c>
      <c r="BB19" s="48" t="n">
        <v>176</v>
      </c>
      <c r="BC19" s="46" t="n">
        <v>130.94</v>
      </c>
      <c r="BD19" s="43" t="n">
        <v>32</v>
      </c>
      <c r="BE19" s="43" t="n">
        <v>2</v>
      </c>
      <c r="BF19" s="43" t="inlineStr">
        <is>
          <t>Quad-core Cortex-A57 1.8GHz</t>
        </is>
      </c>
      <c r="BG19" s="48" t="n">
        <v>16384</v>
      </c>
      <c r="BH19" s="43" t="n">
        <v>4093</v>
      </c>
      <c r="BI19" s="43" t="inlineStr">
        <is>
          <t>2K IPv4 / 2K IPv6</t>
        </is>
      </c>
      <c r="BJ19" s="43" t="n"/>
      <c r="BK19" s="51" t="inlineStr">
        <is>
          <t>Full L3 (static, RIP, OSPF, VRRP, PIM-SM/DM, PBR)</t>
        </is>
      </c>
      <c r="BL19" s="43" t="inlineStr">
        <is>
          <t>Yes (NSF)</t>
        </is>
      </c>
      <c r="BM19" s="43" t="n">
        <v>8</v>
      </c>
      <c r="BN19" s="43" t="inlineStr">
        <is>
          <t>Yes (exclusive with stacking)</t>
        </is>
      </c>
      <c r="BO19" s="43" t="inlineStr">
        <is>
          <t>PTPv2 1-step E2E Transparent Clock</t>
        </is>
      </c>
      <c r="BP19" s="43" t="inlineStr">
        <is>
          <t>No</t>
        </is>
      </c>
      <c r="BQ19" s="43" t="inlineStr">
        <is>
          <t>Yes</t>
        </is>
      </c>
      <c r="BR19" s="43" t="inlineStr">
        <is>
          <t>Yes</t>
        </is>
      </c>
      <c r="BS19" s="43" t="inlineStr">
        <is>
          <t>No</t>
        </is>
      </c>
      <c r="BT19" s="43" t="n">
        <v>45</v>
      </c>
      <c r="BU19" s="43" t="inlineStr">
        <is>
          <t>Front-to-back</t>
        </is>
      </c>
      <c r="BV19" s="43" t="inlineStr">
        <is>
          <t>No (Quiet / Cool modes)</t>
        </is>
      </c>
      <c r="BW19" s="43" t="n">
        <v>33</v>
      </c>
      <c r="BX19" s="48" t="n">
        <v>623591</v>
      </c>
      <c r="BY19" s="51" t="inlineStr">
        <is>
          <t>ProSAFE Limited Lifetime HW; Lifetime NBD replacement</t>
        </is>
      </c>
      <c r="BZ19" s="43" t="inlineStr">
        <is>
          <t>Cat 3</t>
        </is>
      </c>
      <c r="CA19" s="43" t="inlineStr">
        <is>
          <t>Not listed</t>
        </is>
      </c>
      <c r="CB19" s="43" t="n"/>
      <c r="CC19" s="43" t="n"/>
      <c r="CD19" s="43" t="n"/>
      <c r="CE19" s="43" t="n"/>
      <c r="CF19" s="43" t="n"/>
      <c r="CG19" s="43" t="n"/>
      <c r="CH19" s="43" t="n"/>
      <c r="CI19" s="43" t="n"/>
      <c r="CJ19" s="43" t="n"/>
      <c r="CK19" s="51" t="inlineStr">
        <is>
          <t>M4350 datasheet DS-M4350-30May25 (fw 14.0) [file: M3450_Datasheet_30May25.pdf]</t>
        </is>
      </c>
      <c r="CL19" s="43" t="inlineStr">
        <is>
          <t>2026-09-27</t>
        </is>
      </c>
      <c r="CM19" s="43" t="n"/>
    </row>
    <row r="20" ht="46.25" customHeight="1" s="29">
      <c r="A20" s="43" t="inlineStr">
        <is>
          <t>MSM4310</t>
        </is>
      </c>
      <c r="B20" s="43" t="inlineStr">
        <is>
          <t>M4350-8M2V</t>
        </is>
      </c>
      <c r="C20" s="43" t="inlineStr">
        <is>
          <t>M4350</t>
        </is>
      </c>
      <c r="D20" s="43" t="inlineStr">
        <is>
          <t>NETGEAR AV and IT</t>
        </is>
      </c>
      <c r="E20" s="43" t="inlineStr">
        <is>
          <t>Switch</t>
        </is>
      </c>
      <c r="F20" s="43" t="inlineStr">
        <is>
          <t>Access / Edge</t>
        </is>
      </c>
      <c r="G20" s="43" t="inlineStr">
        <is>
          <t>AV UI; Engage; IT Web GUI; CLI; SNMP</t>
        </is>
      </c>
      <c r="H20" s="43" t="inlineStr">
        <is>
          <t>Active</t>
        </is>
      </c>
      <c r="I20" s="44" t="n"/>
      <c r="J20" s="45" t="n"/>
      <c r="K20" s="45" t="n"/>
      <c r="L20" s="43" t="inlineStr">
        <is>
          <t>1U rack</t>
        </is>
      </c>
      <c r="M20" s="43" t="n">
        <v>1</v>
      </c>
      <c r="N20" s="43" t="inlineStr">
        <is>
          <t>Half width</t>
        </is>
      </c>
      <c r="O20" s="43" t="n">
        <v>220</v>
      </c>
      <c r="P20" s="43" t="n">
        <v>300</v>
      </c>
      <c r="Q20" s="43" t="n">
        <v>43.2</v>
      </c>
      <c r="R20" s="46" t="n">
        <v>2.9</v>
      </c>
      <c r="S20" s="43" t="n">
        <v>0</v>
      </c>
      <c r="T20" s="43" t="n">
        <v>8</v>
      </c>
      <c r="U20" s="43" t="n">
        <v>0</v>
      </c>
      <c r="V20" s="43" t="n">
        <v>0</v>
      </c>
      <c r="W20" s="43" t="n">
        <v>0</v>
      </c>
      <c r="X20" s="43" t="n">
        <v>0</v>
      </c>
      <c r="Y20" s="43" t="n">
        <v>2</v>
      </c>
      <c r="Z20" s="43" t="n">
        <v>0</v>
      </c>
      <c r="AA20" s="43" t="n">
        <v>0</v>
      </c>
      <c r="AB20" s="43" t="n">
        <v>0</v>
      </c>
      <c r="AC20" s="43" t="n">
        <v>0</v>
      </c>
      <c r="AD20" s="43" t="n">
        <v>0</v>
      </c>
      <c r="AE20" s="43" t="n">
        <v>0</v>
      </c>
      <c r="AF20" s="47">
        <f>SUM(S20:AE20)</f>
        <v/>
      </c>
      <c r="AG20" s="43" t="n"/>
      <c r="AH20" s="43" t="inlineStr">
        <is>
          <t>SFP28 ports 9-10: 10G or 25G only</t>
        </is>
      </c>
      <c r="AI20" s="43" t="n">
        <v>8</v>
      </c>
      <c r="AJ20" s="43" t="inlineStr">
        <is>
          <t>802.3bt Ultra90 PoE++</t>
        </is>
      </c>
      <c r="AK20" s="43" t="n">
        <v>90</v>
      </c>
      <c r="AL20" s="48" t="n">
        <v>119</v>
      </c>
      <c r="AM20" s="48" t="n">
        <v>551</v>
      </c>
      <c r="AN20" s="43" t="n">
        <v>322</v>
      </c>
      <c r="AO20" s="49">
        <f>IFERROR(AM20/AI20,"")</f>
        <v/>
      </c>
      <c r="AP20" s="43" t="n"/>
      <c r="AQ20" s="43" t="n"/>
      <c r="AR20" s="43" t="n"/>
      <c r="AS20" s="51" t="inlineStr">
        <is>
          <t>External adapter APS254W (1 incl., 3 DC inputs)</t>
        </is>
      </c>
      <c r="AT20" s="43" t="n">
        <v>254</v>
      </c>
      <c r="AU20" s="43" t="n">
        <v>1</v>
      </c>
      <c r="AV20" s="43" t="n">
        <v>2</v>
      </c>
      <c r="AW20" s="43" t="inlineStr">
        <is>
          <t>APS254W (external DC, up to 3 total)</t>
        </is>
      </c>
      <c r="AX20" s="43" t="n">
        <v>61.2</v>
      </c>
      <c r="AY20" s="43" t="n">
        <v>82</v>
      </c>
      <c r="AZ20" s="43" t="n">
        <v>682</v>
      </c>
      <c r="BA20" s="50">
        <f>IF(MAX(AY20,AZ20)=0,"",ROUND(MAX(AY20,AZ20)*3.412,0))</f>
        <v/>
      </c>
      <c r="BB20" s="48" t="n">
        <v>140</v>
      </c>
      <c r="BC20" s="46" t="n">
        <v>104.16</v>
      </c>
      <c r="BD20" s="43" t="n">
        <v>32</v>
      </c>
      <c r="BE20" s="43" t="n">
        <v>4</v>
      </c>
      <c r="BF20" s="43" t="inlineStr">
        <is>
          <t>Quad-core Cortex-A57 1.8GHz</t>
        </is>
      </c>
      <c r="BG20" s="48" t="n">
        <v>16384</v>
      </c>
      <c r="BH20" s="43" t="n">
        <v>4093</v>
      </c>
      <c r="BI20" s="43" t="inlineStr">
        <is>
          <t>2K IPv4 / 2K IPv6</t>
        </is>
      </c>
      <c r="BJ20" s="43" t="n"/>
      <c r="BK20" s="51" t="inlineStr">
        <is>
          <t>Full L3 (static, RIP, OSPF, VRRP, PIM-SM/DM, PBR)</t>
        </is>
      </c>
      <c r="BL20" s="43" t="inlineStr">
        <is>
          <t>Yes (NSF)</t>
        </is>
      </c>
      <c r="BM20" s="43" t="n">
        <v>8</v>
      </c>
      <c r="BN20" s="43" t="inlineStr">
        <is>
          <t>Yes (exclusive with stacking)</t>
        </is>
      </c>
      <c r="BO20" s="51" t="inlineStr">
        <is>
          <t>PTPv2 TC + Boundary/Grandmaster (SMPTE 2059-2, AES67, AES-R16)</t>
        </is>
      </c>
      <c r="BP20" s="43" t="inlineStr">
        <is>
          <t>Yes</t>
        </is>
      </c>
      <c r="BQ20" s="43" t="inlineStr">
        <is>
          <t>Yes</t>
        </is>
      </c>
      <c r="BR20" s="43" t="inlineStr">
        <is>
          <t>Yes</t>
        </is>
      </c>
      <c r="BS20" s="43" t="inlineStr">
        <is>
          <t>No</t>
        </is>
      </c>
      <c r="BT20" s="43" t="n">
        <v>45</v>
      </c>
      <c r="BU20" s="43" t="inlineStr">
        <is>
          <t>Front-to-back</t>
        </is>
      </c>
      <c r="BV20" s="43" t="inlineStr">
        <is>
          <t>No (Quiet / Cool modes)</t>
        </is>
      </c>
      <c r="BW20" s="43" t="n">
        <v>32.2</v>
      </c>
      <c r="BX20" s="48" t="n">
        <v>415986</v>
      </c>
      <c r="BY20" s="51" t="inlineStr">
        <is>
          <t>ProSAFE Limited Lifetime HW; Lifetime NBD replacement</t>
        </is>
      </c>
      <c r="BZ20" s="43" t="inlineStr">
        <is>
          <t>Cat 3</t>
        </is>
      </c>
      <c r="CA20" s="43" t="inlineStr">
        <is>
          <t>Yes (-TAANES)</t>
        </is>
      </c>
      <c r="CB20" s="43" t="n"/>
      <c r="CC20" s="43" t="n"/>
      <c r="CD20" s="43" t="n"/>
      <c r="CE20" s="43" t="n"/>
      <c r="CF20" s="43" t="n"/>
      <c r="CG20" s="43" t="n"/>
      <c r="CH20" s="43" t="n"/>
      <c r="CI20" s="43" t="n"/>
      <c r="CJ20" s="43" t="n"/>
      <c r="CK20" s="51" t="inlineStr">
        <is>
          <t>M4350 datasheet DS-M4350-30May25 (fw 14.0) [file: M3450_Datasheet_30May25.pdf]</t>
        </is>
      </c>
      <c r="CL20" s="43" t="inlineStr">
        <is>
          <t>2026-09-27</t>
        </is>
      </c>
      <c r="CM20" s="51" t="inlineStr">
        <is>
          <t>Ships with 1x APS254W. Redundant budget 119W (1+1) or 322W (2+1). Optional PST4310 half-width PSU tray.</t>
        </is>
      </c>
    </row>
    <row r="21" ht="46.25" customHeight="1" s="29">
      <c r="A21" s="43" t="inlineStr">
        <is>
          <t>MSM4332</t>
        </is>
      </c>
      <c r="B21" s="43" t="inlineStr">
        <is>
          <t>M4350-24M4X4V</t>
        </is>
      </c>
      <c r="C21" s="43" t="inlineStr">
        <is>
          <t>M4350</t>
        </is>
      </c>
      <c r="D21" s="43" t="inlineStr">
        <is>
          <t>NETGEAR AV and IT</t>
        </is>
      </c>
      <c r="E21" s="43" t="inlineStr">
        <is>
          <t>Switch</t>
        </is>
      </c>
      <c r="F21" s="43" t="inlineStr">
        <is>
          <t>Access / Edge</t>
        </is>
      </c>
      <c r="G21" s="43" t="inlineStr">
        <is>
          <t>AV UI; Engage; IT Web GUI; CLI; SNMP</t>
        </is>
      </c>
      <c r="H21" s="43" t="inlineStr">
        <is>
          <t>Active</t>
        </is>
      </c>
      <c r="I21" s="44" t="n"/>
      <c r="J21" s="45" t="n"/>
      <c r="K21" s="45" t="n"/>
      <c r="L21" s="43" t="inlineStr">
        <is>
          <t>1U rack</t>
        </is>
      </c>
      <c r="M21" s="43" t="n">
        <v>1</v>
      </c>
      <c r="N21" s="43" t="inlineStr">
        <is>
          <t>Full width</t>
        </is>
      </c>
      <c r="O21" s="43" t="n">
        <v>440</v>
      </c>
      <c r="P21" s="43" t="n">
        <v>400</v>
      </c>
      <c r="Q21" s="43" t="n">
        <v>43.2</v>
      </c>
      <c r="R21" s="46" t="n">
        <v>7.38</v>
      </c>
      <c r="S21" s="43" t="n">
        <v>0</v>
      </c>
      <c r="T21" s="43" t="n">
        <v>24</v>
      </c>
      <c r="U21" s="43" t="n">
        <v>4</v>
      </c>
      <c r="V21" s="43" t="n">
        <v>0</v>
      </c>
      <c r="W21" s="43" t="n">
        <v>0</v>
      </c>
      <c r="X21" s="43" t="n">
        <v>0</v>
      </c>
      <c r="Y21" s="43" t="n">
        <v>4</v>
      </c>
      <c r="Z21" s="43" t="n">
        <v>0</v>
      </c>
      <c r="AA21" s="43" t="n">
        <v>0</v>
      </c>
      <c r="AB21" s="43" t="n">
        <v>0</v>
      </c>
      <c r="AC21" s="43" t="n">
        <v>0</v>
      </c>
      <c r="AD21" s="43" t="n">
        <v>0</v>
      </c>
      <c r="AE21" s="43" t="n">
        <v>0</v>
      </c>
      <c r="AF21" s="47">
        <f>SUM(S21:AE21)</f>
        <v/>
      </c>
      <c r="AG21" s="43" t="n"/>
      <c r="AH21" s="51" t="inlineStr">
        <is>
          <t>10G RJ45 ports: 1/2.5/5/10G only (no 100M). SFP28 29-32: 10G or 25G only</t>
        </is>
      </c>
      <c r="AI21" s="43" t="n">
        <v>28</v>
      </c>
      <c r="AJ21" s="43" t="inlineStr">
        <is>
          <t>802.3bt Ultra90 PoE++</t>
        </is>
      </c>
      <c r="AK21" s="43" t="n">
        <v>90</v>
      </c>
      <c r="AL21" s="48" t="n">
        <v>522</v>
      </c>
      <c r="AM21" s="48" t="n">
        <v>2520</v>
      </c>
      <c r="AN21" s="43" t="n">
        <v>1972</v>
      </c>
      <c r="AO21" s="49">
        <f>IFERROR(AM21/AI21,"")</f>
        <v/>
      </c>
      <c r="AP21" s="43" t="n"/>
      <c r="AQ21" s="43" t="n"/>
      <c r="AR21" s="43" t="n"/>
      <c r="AS21" s="43" t="inlineStr">
        <is>
          <t>Internal fixed + modular slots</t>
        </is>
      </c>
      <c r="AT21" s="43" t="n">
        <v>800</v>
      </c>
      <c r="AU21" s="43" t="n">
        <v>1</v>
      </c>
      <c r="AV21" s="43" t="n">
        <v>2</v>
      </c>
      <c r="AW21" s="43" t="inlineStr">
        <is>
          <t>B: APS600Wv3 / APS1200Wv2 / APS2000Wv2</t>
        </is>
      </c>
      <c r="AX21" s="43" t="n">
        <v>53</v>
      </c>
      <c r="AY21" s="43" t="n">
        <v>123.4</v>
      </c>
      <c r="AZ21" s="43" t="n">
        <v>2845</v>
      </c>
      <c r="BA21" s="50">
        <f>IF(MAX(AY21,AZ21)=0,"",ROUND(MAX(AY21,AZ21)*3.412,0))</f>
        <v/>
      </c>
      <c r="BB21" s="48" t="n">
        <v>400</v>
      </c>
      <c r="BC21" s="46" t="n">
        <v>297.6</v>
      </c>
      <c r="BD21" s="43" t="n">
        <v>32</v>
      </c>
      <c r="BE21" s="43" t="n">
        <v>4</v>
      </c>
      <c r="BF21" s="43" t="inlineStr">
        <is>
          <t>Quad-core Cortex-A57 1.8GHz</t>
        </is>
      </c>
      <c r="BG21" s="48" t="n">
        <v>16384</v>
      </c>
      <c r="BH21" s="43" t="n">
        <v>4093</v>
      </c>
      <c r="BI21" s="43" t="inlineStr">
        <is>
          <t>2K IPv4 / 2K IPv6</t>
        </is>
      </c>
      <c r="BJ21" s="43" t="n"/>
      <c r="BK21" s="51" t="inlineStr">
        <is>
          <t>Full L3 (static, RIP, OSPF, VRRP, PIM-SM/DM, PBR)</t>
        </is>
      </c>
      <c r="BL21" s="43" t="inlineStr">
        <is>
          <t>Yes (NSF)</t>
        </is>
      </c>
      <c r="BM21" s="43" t="n">
        <v>8</v>
      </c>
      <c r="BN21" s="43" t="inlineStr">
        <is>
          <t>Yes (exclusive with stacking)</t>
        </is>
      </c>
      <c r="BO21" s="51" t="inlineStr">
        <is>
          <t>PTPv2 TC + Boundary/Grandmaster (SMPTE 2059-2, AES67, AES-R16)</t>
        </is>
      </c>
      <c r="BP21" s="43" t="inlineStr">
        <is>
          <t>Yes</t>
        </is>
      </c>
      <c r="BQ21" s="43" t="inlineStr">
        <is>
          <t>Yes</t>
        </is>
      </c>
      <c r="BR21" s="43" t="inlineStr">
        <is>
          <t>Yes</t>
        </is>
      </c>
      <c r="BS21" s="43" t="inlineStr">
        <is>
          <t>No</t>
        </is>
      </c>
      <c r="BT21" s="43" t="n">
        <v>45</v>
      </c>
      <c r="BU21" s="43" t="inlineStr">
        <is>
          <t>Front-to-back</t>
        </is>
      </c>
      <c r="BV21" s="43" t="inlineStr">
        <is>
          <t>No (Quiet / Cool modes)</t>
        </is>
      </c>
      <c r="BW21" s="43" t="n">
        <v>34.8</v>
      </c>
      <c r="BX21" s="48" t="n">
        <v>377861</v>
      </c>
      <c r="BY21" s="51" t="inlineStr">
        <is>
          <t>ProSAFE Limited Lifetime HW; Lifetime NBD replacement</t>
        </is>
      </c>
      <c r="BZ21" s="43" t="inlineStr">
        <is>
          <t>Cat 3</t>
        </is>
      </c>
      <c r="CA21" s="43" t="inlineStr">
        <is>
          <t>Yes (-TAANES)</t>
        </is>
      </c>
      <c r="CB21" s="43" t="n"/>
      <c r="CC21" s="43" t="n"/>
      <c r="CD21" s="43" t="n"/>
      <c r="CE21" s="43" t="n"/>
      <c r="CF21" s="43" t="n"/>
      <c r="CG21" s="43" t="n"/>
      <c r="CH21" s="43" t="n"/>
      <c r="CI21" s="43" t="n"/>
      <c r="CJ21" s="43" t="n"/>
      <c r="CK21" s="51" t="inlineStr">
        <is>
          <t>M4350 datasheet DS-M4350-30May25 (fw 14.0) [file: M3450_Datasheet_30May25.pdf]</t>
        </is>
      </c>
      <c r="CL21" s="43" t="inlineStr">
        <is>
          <t>2026-09-27</t>
        </is>
      </c>
      <c r="CM21" s="43" t="n"/>
    </row>
    <row r="22" ht="46.25" customHeight="1" s="29">
      <c r="A22" s="43" t="inlineStr">
        <is>
          <t>MSM4352</t>
        </is>
      </c>
      <c r="B22" s="43" t="inlineStr">
        <is>
          <t>M4350-44M4X4V</t>
        </is>
      </c>
      <c r="C22" s="43" t="inlineStr">
        <is>
          <t>M4350</t>
        </is>
      </c>
      <c r="D22" s="43" t="inlineStr">
        <is>
          <t>NETGEAR AV and IT</t>
        </is>
      </c>
      <c r="E22" s="43" t="inlineStr">
        <is>
          <t>Switch</t>
        </is>
      </c>
      <c r="F22" s="43" t="inlineStr">
        <is>
          <t>Access / Edge</t>
        </is>
      </c>
      <c r="G22" s="43" t="inlineStr">
        <is>
          <t>AV UI; Engage; IT Web GUI; CLI; SNMP</t>
        </is>
      </c>
      <c r="H22" s="43" t="inlineStr">
        <is>
          <t>Active</t>
        </is>
      </c>
      <c r="I22" s="44" t="n"/>
      <c r="J22" s="45" t="n"/>
      <c r="K22" s="45" t="n"/>
      <c r="L22" s="43" t="inlineStr">
        <is>
          <t>1U rack</t>
        </is>
      </c>
      <c r="M22" s="43" t="n">
        <v>1</v>
      </c>
      <c r="N22" s="43" t="inlineStr">
        <is>
          <t>Full width</t>
        </is>
      </c>
      <c r="O22" s="43" t="n">
        <v>440</v>
      </c>
      <c r="P22" s="43" t="n">
        <v>400</v>
      </c>
      <c r="Q22" s="43" t="n">
        <v>43.2</v>
      </c>
      <c r="R22" s="46" t="n">
        <v>7.34</v>
      </c>
      <c r="S22" s="43" t="n">
        <v>0</v>
      </c>
      <c r="T22" s="43" t="n">
        <v>44</v>
      </c>
      <c r="U22" s="43" t="n">
        <v>4</v>
      </c>
      <c r="V22" s="43" t="n">
        <v>0</v>
      </c>
      <c r="W22" s="43" t="n">
        <v>0</v>
      </c>
      <c r="X22" s="43" t="n">
        <v>0</v>
      </c>
      <c r="Y22" s="43" t="n">
        <v>4</v>
      </c>
      <c r="Z22" s="43" t="n">
        <v>0</v>
      </c>
      <c r="AA22" s="43" t="n">
        <v>0</v>
      </c>
      <c r="AB22" s="43" t="n">
        <v>0</v>
      </c>
      <c r="AC22" s="43" t="n">
        <v>0</v>
      </c>
      <c r="AD22" s="43" t="n">
        <v>0</v>
      </c>
      <c r="AE22" s="43" t="n">
        <v>0</v>
      </c>
      <c r="AF22" s="47">
        <f>SUM(S22:AE22)</f>
        <v/>
      </c>
      <c r="AG22" s="43" t="n"/>
      <c r="AH22" s="51" t="inlineStr">
        <is>
          <t>100M only on ports 1-44; 10G RJ45 no 100M. SFP28 49-52: 10G or 25G only</t>
        </is>
      </c>
      <c r="AI22" s="43" t="n">
        <v>48</v>
      </c>
      <c r="AJ22" s="43" t="inlineStr">
        <is>
          <t>802.3bt Ultra90 PoE++</t>
        </is>
      </c>
      <c r="AK22" s="43" t="n">
        <v>90</v>
      </c>
      <c r="AL22" s="48" t="n">
        <v>194</v>
      </c>
      <c r="AM22" s="48" t="n">
        <v>3314</v>
      </c>
      <c r="AN22" s="43" t="n">
        <v>1794</v>
      </c>
      <c r="AO22" s="49">
        <f>IFERROR(AM22/AI22,"")</f>
        <v/>
      </c>
      <c r="AP22" s="43" t="n"/>
      <c r="AQ22" s="43" t="n"/>
      <c r="AR22" s="43" t="n"/>
      <c r="AS22" s="43" t="inlineStr">
        <is>
          <t>Internal fixed + modular slots</t>
        </is>
      </c>
      <c r="AT22" s="43" t="n">
        <v>550</v>
      </c>
      <c r="AU22" s="43" t="n">
        <v>1</v>
      </c>
      <c r="AV22" s="43" t="n">
        <v>2</v>
      </c>
      <c r="AW22" s="51" t="inlineStr">
        <is>
          <t>A: APS350W / APS600Wv2 / APS920W / APS2000W</t>
        </is>
      </c>
      <c r="AX22" s="43" t="n">
        <v>56.5</v>
      </c>
      <c r="AY22" s="43" t="n">
        <v>133.5</v>
      </c>
      <c r="AZ22" s="43" t="n">
        <v>3857.5</v>
      </c>
      <c r="BA22" s="50">
        <f>IF(MAX(AY22,AZ22)=0,"",ROUND(MAX(AY22,AZ22)*3.412,0))</f>
        <v/>
      </c>
      <c r="BB22" s="48" t="n">
        <v>500</v>
      </c>
      <c r="BC22" s="46" t="n">
        <v>372</v>
      </c>
      <c r="BD22" s="43" t="n">
        <v>32</v>
      </c>
      <c r="BE22" s="43" t="n">
        <v>2</v>
      </c>
      <c r="BF22" s="43" t="inlineStr">
        <is>
          <t>Quad-core Cortex-A57 1.8GHz</t>
        </is>
      </c>
      <c r="BG22" s="48" t="n">
        <v>16384</v>
      </c>
      <c r="BH22" s="43" t="n">
        <v>4093</v>
      </c>
      <c r="BI22" s="43" t="inlineStr">
        <is>
          <t>2K IPv4 / 2K IPv6</t>
        </is>
      </c>
      <c r="BJ22" s="43" t="n"/>
      <c r="BK22" s="51" t="inlineStr">
        <is>
          <t>Full L3 (static, RIP, OSPF, VRRP, PIM-SM/DM, PBR)</t>
        </is>
      </c>
      <c r="BL22" s="43" t="inlineStr">
        <is>
          <t>Yes (NSF)</t>
        </is>
      </c>
      <c r="BM22" s="43" t="n">
        <v>8</v>
      </c>
      <c r="BN22" s="43" t="inlineStr">
        <is>
          <t>Yes (exclusive with stacking)</t>
        </is>
      </c>
      <c r="BO22" s="43" t="inlineStr">
        <is>
          <t>PTPv2 1-step E2E Transparent Clock</t>
        </is>
      </c>
      <c r="BP22" s="43" t="inlineStr">
        <is>
          <t>No</t>
        </is>
      </c>
      <c r="BQ22" s="43" t="inlineStr">
        <is>
          <t>Yes</t>
        </is>
      </c>
      <c r="BR22" s="43" t="inlineStr">
        <is>
          <t>Yes</t>
        </is>
      </c>
      <c r="BS22" s="43" t="inlineStr">
        <is>
          <t>No</t>
        </is>
      </c>
      <c r="BT22" s="43" t="n">
        <v>45</v>
      </c>
      <c r="BU22" s="43" t="inlineStr">
        <is>
          <t>Front-to-back</t>
        </is>
      </c>
      <c r="BV22" s="43" t="inlineStr">
        <is>
          <t>No (Quiet / Cool modes)</t>
        </is>
      </c>
      <c r="BW22" s="43" t="n">
        <v>34</v>
      </c>
      <c r="BX22" s="48" t="n">
        <v>320552</v>
      </c>
      <c r="BY22" s="51" t="inlineStr">
        <is>
          <t>ProSAFE Limited Lifetime HW; Lifetime NBD replacement</t>
        </is>
      </c>
      <c r="BZ22" s="43" t="inlineStr">
        <is>
          <t>Cat 3</t>
        </is>
      </c>
      <c r="CA22" s="43" t="inlineStr">
        <is>
          <t>Yes (-TAANES)</t>
        </is>
      </c>
      <c r="CB22" s="43" t="n"/>
      <c r="CC22" s="43" t="n"/>
      <c r="CD22" s="43" t="n"/>
      <c r="CE22" s="43" t="n"/>
      <c r="CF22" s="43" t="n"/>
      <c r="CG22" s="43" t="n"/>
      <c r="CH22" s="43" t="n"/>
      <c r="CI22" s="43" t="n"/>
      <c r="CJ22" s="43" t="n"/>
      <c r="CK22" s="51" t="inlineStr">
        <is>
          <t>M4350 datasheet DS-M4350-30May25 (fw 14.0) [file: M3450_Datasheet_30May25.pdf]</t>
        </is>
      </c>
      <c r="CL22" s="43" t="inlineStr">
        <is>
          <t>2026-09-27</t>
        </is>
      </c>
      <c r="CM22" s="51" t="inlineStr">
        <is>
          <t>Max 3,314W PoE needs 2x APS2000W on 220VAC</t>
        </is>
      </c>
    </row>
    <row r="23" ht="46.25" customHeight="1" s="29">
      <c r="A23" s="43" t="inlineStr">
        <is>
          <t>MSM4328F</t>
        </is>
      </c>
      <c r="B23" s="43" t="inlineStr">
        <is>
          <t>M4350-24F4X</t>
        </is>
      </c>
      <c r="C23" s="43" t="inlineStr">
        <is>
          <t>M4350</t>
        </is>
      </c>
      <c r="D23" s="43" t="inlineStr">
        <is>
          <t>NETGEAR AV and IT</t>
        </is>
      </c>
      <c r="E23" s="43" t="inlineStr">
        <is>
          <t>Switch</t>
        </is>
      </c>
      <c r="F23" s="43" t="inlineStr">
        <is>
          <t>Aggregation / Core</t>
        </is>
      </c>
      <c r="G23" s="43" t="inlineStr">
        <is>
          <t>AV UI; Engage; IT Web GUI; CLI; SNMP</t>
        </is>
      </c>
      <c r="H23" s="43" t="inlineStr">
        <is>
          <t>Active</t>
        </is>
      </c>
      <c r="I23" s="44" t="n"/>
      <c r="J23" s="45" t="n"/>
      <c r="K23" s="45" t="n"/>
      <c r="L23" s="43" t="inlineStr">
        <is>
          <t>1U rack</t>
        </is>
      </c>
      <c r="M23" s="43" t="n">
        <v>1</v>
      </c>
      <c r="N23" s="43" t="inlineStr">
        <is>
          <t>Full width</t>
        </is>
      </c>
      <c r="O23" s="43" t="n">
        <v>440</v>
      </c>
      <c r="P23" s="43" t="n">
        <v>400</v>
      </c>
      <c r="Q23" s="43" t="n">
        <v>43.2</v>
      </c>
      <c r="R23" s="46" t="n">
        <v>7.38</v>
      </c>
      <c r="S23" s="43" t="n">
        <v>0</v>
      </c>
      <c r="T23" s="43" t="n">
        <v>0</v>
      </c>
      <c r="U23" s="43" t="n">
        <v>0</v>
      </c>
      <c r="V23" s="43" t="n">
        <v>0</v>
      </c>
      <c r="W23" s="43" t="n">
        <v>24</v>
      </c>
      <c r="X23" s="43" t="n">
        <v>0</v>
      </c>
      <c r="Y23" s="43" t="n">
        <v>0</v>
      </c>
      <c r="Z23" s="43" t="n">
        <v>0</v>
      </c>
      <c r="AA23" s="43" t="n">
        <v>0</v>
      </c>
      <c r="AB23" s="43" t="n">
        <v>0</v>
      </c>
      <c r="AC23" s="43" t="n">
        <v>0</v>
      </c>
      <c r="AD23" s="43" t="n">
        <v>0</v>
      </c>
      <c r="AE23" s="43" t="n">
        <v>4</v>
      </c>
      <c r="AF23" s="47">
        <f>SUM(S23:AE23)</f>
        <v/>
      </c>
      <c r="AG23" s="43" t="n"/>
      <c r="AH23" s="51" t="inlineStr">
        <is>
          <t>24x SFP 1G/2.5G only; 4 combo 10GBASE-T / SFP+ (SFP+ side 1G/10G only)</t>
        </is>
      </c>
      <c r="AI23" s="43" t="n">
        <v>0</v>
      </c>
      <c r="AJ23" s="43" t="inlineStr">
        <is>
          <t>None</t>
        </is>
      </c>
      <c r="AK23" s="43" t="n"/>
      <c r="AL23" s="48" t="n"/>
      <c r="AM23" s="48" t="n"/>
      <c r="AN23" s="43" t="n"/>
      <c r="AO23" s="49">
        <f>IFERROR(AM23/AI23,"")</f>
        <v/>
      </c>
      <c r="AP23" s="43" t="n"/>
      <c r="AQ23" s="43" t="n"/>
      <c r="AR23" s="43" t="n"/>
      <c r="AS23" s="43" t="inlineStr">
        <is>
          <t>Internal fixed + modular slots</t>
        </is>
      </c>
      <c r="AT23" s="43" t="n">
        <v>240</v>
      </c>
      <c r="AU23" s="43" t="n">
        <v>1</v>
      </c>
      <c r="AV23" s="43" t="n">
        <v>1</v>
      </c>
      <c r="AW23" s="43" t="inlineStr">
        <is>
          <t>B: APS600Wv3 / APS1200Wv2 / APS2000Wv2</t>
        </is>
      </c>
      <c r="AX23" s="43" t="n">
        <v>39</v>
      </c>
      <c r="AY23" s="43" t="n">
        <v>115.5</v>
      </c>
      <c r="AZ23" s="43" t="n"/>
      <c r="BA23" s="50">
        <f>IF(MAX(AY23,AZ23)=0,"",ROUND(MAX(AY23,AZ23)*3.412,0))</f>
        <v/>
      </c>
      <c r="BB23" s="48" t="n">
        <v>200</v>
      </c>
      <c r="BC23" s="46" t="n">
        <v>148.8</v>
      </c>
      <c r="BD23" s="43" t="n">
        <v>32</v>
      </c>
      <c r="BE23" s="43" t="n">
        <v>4</v>
      </c>
      <c r="BF23" s="43" t="inlineStr">
        <is>
          <t>Quad-core Cortex-A57 1.8GHz</t>
        </is>
      </c>
      <c r="BG23" s="48" t="n">
        <v>16384</v>
      </c>
      <c r="BH23" s="43" t="n">
        <v>4093</v>
      </c>
      <c r="BI23" s="43" t="inlineStr">
        <is>
          <t>2K IPv4 / 2K IPv6</t>
        </is>
      </c>
      <c r="BJ23" s="43" t="n"/>
      <c r="BK23" s="51" t="inlineStr">
        <is>
          <t>Full L3 (static, RIP, OSPF, VRRP, PIM-SM/DM, PBR)</t>
        </is>
      </c>
      <c r="BL23" s="43" t="inlineStr">
        <is>
          <t>Yes (NSF)</t>
        </is>
      </c>
      <c r="BM23" s="43" t="n">
        <v>8</v>
      </c>
      <c r="BN23" s="43" t="inlineStr">
        <is>
          <t>Yes (exclusive with stacking)</t>
        </is>
      </c>
      <c r="BO23" s="51" t="inlineStr">
        <is>
          <t>PTPv2 TC + Boundary/Grandmaster (SMPTE 2059-2, AES67, AES-R16)</t>
        </is>
      </c>
      <c r="BP23" s="43" t="inlineStr">
        <is>
          <t>Yes</t>
        </is>
      </c>
      <c r="BQ23" s="43" t="inlineStr">
        <is>
          <t>Yes</t>
        </is>
      </c>
      <c r="BR23" s="43" t="inlineStr">
        <is>
          <t>Yes</t>
        </is>
      </c>
      <c r="BS23" s="43" t="inlineStr">
        <is>
          <t>No</t>
        </is>
      </c>
      <c r="BT23" s="43" t="n">
        <v>50</v>
      </c>
      <c r="BU23" s="43" t="inlineStr">
        <is>
          <t>Front-to-back</t>
        </is>
      </c>
      <c r="BV23" s="43" t="inlineStr">
        <is>
          <t>No (Quiet / Cool modes)</t>
        </is>
      </c>
      <c r="BW23" s="43" t="n">
        <v>30</v>
      </c>
      <c r="BX23" s="48" t="n">
        <v>795845</v>
      </c>
      <c r="BY23" s="51" t="inlineStr">
        <is>
          <t>ProSAFE Limited Lifetime HW; Lifetime NBD replacement</t>
        </is>
      </c>
      <c r="BZ23" s="43" t="inlineStr">
        <is>
          <t>Cat 3</t>
        </is>
      </c>
      <c r="CA23" s="43" t="inlineStr">
        <is>
          <t>Yes (-TAANES)</t>
        </is>
      </c>
      <c r="CB23" s="43" t="n"/>
      <c r="CC23" s="43" t="n"/>
      <c r="CD23" s="43" t="n"/>
      <c r="CE23" s="43" t="n"/>
      <c r="CF23" s="43" t="n"/>
      <c r="CG23" s="43" t="n"/>
      <c r="CH23" s="43" t="n"/>
      <c r="CI23" s="43" t="n"/>
      <c r="CJ23" s="43" t="n"/>
      <c r="CK23" s="51" t="inlineStr">
        <is>
          <t>M4350 datasheet DS-M4350-30May25 (fw 14.0) [file: M3450_Datasheet_30May25.pdf]</t>
        </is>
      </c>
      <c r="CL23" s="43" t="inlineStr">
        <is>
          <t>2026-09-27</t>
        </is>
      </c>
      <c r="CM23" s="43" t="inlineStr">
        <is>
          <t>Modular slot = RPS only (no PoE)</t>
        </is>
      </c>
    </row>
    <row r="24" ht="46.25" customHeight="1" s="29">
      <c r="A24" s="43" t="inlineStr">
        <is>
          <t>XSM4316</t>
        </is>
      </c>
      <c r="B24" s="43" t="inlineStr">
        <is>
          <t>M4350-8X8F</t>
        </is>
      </c>
      <c r="C24" s="43" t="inlineStr">
        <is>
          <t>M4350</t>
        </is>
      </c>
      <c r="D24" s="43" t="inlineStr">
        <is>
          <t>NETGEAR AV and IT</t>
        </is>
      </c>
      <c r="E24" s="43" t="inlineStr">
        <is>
          <t>Switch</t>
        </is>
      </c>
      <c r="F24" s="43" t="inlineStr">
        <is>
          <t>Aggregation / Core</t>
        </is>
      </c>
      <c r="G24" s="43" t="inlineStr">
        <is>
          <t>AV UI; Engage; IT Web GUI; CLI; SNMP</t>
        </is>
      </c>
      <c r="H24" s="43" t="inlineStr">
        <is>
          <t>Active</t>
        </is>
      </c>
      <c r="I24" s="44" t="n"/>
      <c r="J24" s="45" t="n"/>
      <c r="K24" s="45" t="n"/>
      <c r="L24" s="43" t="inlineStr">
        <is>
          <t>1U rack</t>
        </is>
      </c>
      <c r="M24" s="43" t="n">
        <v>1</v>
      </c>
      <c r="N24" s="43" t="inlineStr">
        <is>
          <t>Half width</t>
        </is>
      </c>
      <c r="O24" s="43" t="n">
        <v>220</v>
      </c>
      <c r="P24" s="43" t="n">
        <v>400</v>
      </c>
      <c r="Q24" s="43" t="n">
        <v>43.2</v>
      </c>
      <c r="R24" s="46" t="n">
        <v>4.05</v>
      </c>
      <c r="S24" s="43" t="n">
        <v>0</v>
      </c>
      <c r="T24" s="43" t="n">
        <v>0</v>
      </c>
      <c r="U24" s="43" t="n">
        <v>8</v>
      </c>
      <c r="V24" s="43" t="n">
        <v>0</v>
      </c>
      <c r="W24" s="43" t="n">
        <v>0</v>
      </c>
      <c r="X24" s="43" t="n">
        <v>8</v>
      </c>
      <c r="Y24" s="43" t="n">
        <v>0</v>
      </c>
      <c r="Z24" s="43" t="n">
        <v>0</v>
      </c>
      <c r="AA24" s="43" t="n">
        <v>0</v>
      </c>
      <c r="AB24" s="43" t="n">
        <v>0</v>
      </c>
      <c r="AC24" s="43" t="n">
        <v>0</v>
      </c>
      <c r="AD24" s="43" t="n">
        <v>0</v>
      </c>
      <c r="AE24" s="43" t="n">
        <v>0</v>
      </c>
      <c r="AF24" s="47">
        <f>SUM(S24:AE24)</f>
        <v/>
      </c>
      <c r="AG24" s="43" t="n"/>
      <c r="AH24" s="43" t="inlineStr">
        <is>
          <t>1G on copper 1-8 and SFP+ 9-12 only</t>
        </is>
      </c>
      <c r="AI24" s="43" t="n">
        <v>0</v>
      </c>
      <c r="AJ24" s="43" t="inlineStr">
        <is>
          <t>None</t>
        </is>
      </c>
      <c r="AK24" s="43" t="n"/>
      <c r="AL24" s="48" t="n"/>
      <c r="AM24" s="48" t="n"/>
      <c r="AN24" s="43" t="n"/>
      <c r="AO24" s="49">
        <f>IFERROR(AM24/AI24,"")</f>
        <v/>
      </c>
      <c r="AP24" s="43" t="n"/>
      <c r="AQ24" s="43" t="n"/>
      <c r="AR24" s="43" t="n"/>
      <c r="AS24" s="43" t="inlineStr">
        <is>
          <t>Internal fixed (C14)</t>
        </is>
      </c>
      <c r="AT24" s="43" t="n">
        <v>240</v>
      </c>
      <c r="AU24" s="43" t="n">
        <v>1</v>
      </c>
      <c r="AV24" s="43" t="n">
        <v>0</v>
      </c>
      <c r="AW24" s="43" t="inlineStr">
        <is>
          <t>None (fixed)</t>
        </is>
      </c>
      <c r="AX24" s="43" t="n">
        <v>30.5</v>
      </c>
      <c r="AY24" s="43" t="n">
        <v>81.09999999999999</v>
      </c>
      <c r="AZ24" s="43" t="n"/>
      <c r="BA24" s="50">
        <f>IF(MAX(AY24,AZ24)=0,"",ROUND(MAX(AY24,AZ24)*3.412,0))</f>
        <v/>
      </c>
      <c r="BB24" s="48" t="n">
        <v>320</v>
      </c>
      <c r="BC24" s="46" t="n">
        <v>238.08</v>
      </c>
      <c r="BD24" s="43" t="n">
        <v>32</v>
      </c>
      <c r="BE24" s="43" t="n">
        <v>2</v>
      </c>
      <c r="BF24" s="43" t="inlineStr">
        <is>
          <t>Quad-core Cortex-A57 1.8GHz</t>
        </is>
      </c>
      <c r="BG24" s="48" t="n">
        <v>16384</v>
      </c>
      <c r="BH24" s="43" t="n">
        <v>4093</v>
      </c>
      <c r="BI24" s="43" t="inlineStr">
        <is>
          <t>2K IPv4 / 2K IPv6</t>
        </is>
      </c>
      <c r="BJ24" s="43" t="n"/>
      <c r="BK24" s="51" t="inlineStr">
        <is>
          <t>Full L3 (static, RIP, OSPF, VRRP, PIM-SM/DM, PBR)</t>
        </is>
      </c>
      <c r="BL24" s="43" t="inlineStr">
        <is>
          <t>Yes (NSF)</t>
        </is>
      </c>
      <c r="BM24" s="43" t="n">
        <v>8</v>
      </c>
      <c r="BN24" s="43" t="inlineStr">
        <is>
          <t>Yes (exclusive with stacking)</t>
        </is>
      </c>
      <c r="BO24" s="43" t="inlineStr">
        <is>
          <t>PTPv2 1-step E2E Transparent Clock</t>
        </is>
      </c>
      <c r="BP24" s="43" t="inlineStr">
        <is>
          <t>No</t>
        </is>
      </c>
      <c r="BQ24" s="43" t="inlineStr">
        <is>
          <t>Yes</t>
        </is>
      </c>
      <c r="BR24" s="43" t="inlineStr">
        <is>
          <t>Yes</t>
        </is>
      </c>
      <c r="BS24" s="43" t="inlineStr">
        <is>
          <t>No</t>
        </is>
      </c>
      <c r="BT24" s="43" t="n">
        <v>50</v>
      </c>
      <c r="BU24" s="43" t="inlineStr">
        <is>
          <t>Front-to-back</t>
        </is>
      </c>
      <c r="BV24" s="43" t="inlineStr">
        <is>
          <t>No (Quiet / Cool modes)</t>
        </is>
      </c>
      <c r="BW24" s="43" t="n">
        <v>34.43</v>
      </c>
      <c r="BX24" s="48" t="n">
        <v>1101630</v>
      </c>
      <c r="BY24" s="51" t="inlineStr">
        <is>
          <t>ProSAFE Limited Lifetime HW; Lifetime NBD replacement</t>
        </is>
      </c>
      <c r="BZ24" s="43" t="inlineStr">
        <is>
          <t>Cat 3</t>
        </is>
      </c>
      <c r="CA24" s="43" t="inlineStr">
        <is>
          <t>Not listed</t>
        </is>
      </c>
      <c r="CB24" s="43" t="n"/>
      <c r="CC24" s="43" t="n"/>
      <c r="CD24" s="43" t="n"/>
      <c r="CE24" s="43" t="n"/>
      <c r="CF24" s="43" t="n"/>
      <c r="CG24" s="43" t="n"/>
      <c r="CH24" s="43" t="n"/>
      <c r="CI24" s="43" t="n"/>
      <c r="CJ24" s="43" t="n"/>
      <c r="CK24" s="51" t="inlineStr">
        <is>
          <t>M4350 datasheet DS-M4350-30May25 (fw 14.0) [file: M3450_Datasheet_30May25.pdf]</t>
        </is>
      </c>
      <c r="CL24" s="43" t="inlineStr">
        <is>
          <t>2026-09-27</t>
        </is>
      </c>
      <c r="CM24" s="43" t="n"/>
    </row>
    <row r="25" ht="46.25" customHeight="1" s="29">
      <c r="A25" s="43" t="inlineStr">
        <is>
          <t>XSM4324</t>
        </is>
      </c>
      <c r="B25" s="43" t="inlineStr">
        <is>
          <t>M4350-12X12F</t>
        </is>
      </c>
      <c r="C25" s="43" t="inlineStr">
        <is>
          <t>M4350</t>
        </is>
      </c>
      <c r="D25" s="43" t="inlineStr">
        <is>
          <t>NETGEAR AV and IT</t>
        </is>
      </c>
      <c r="E25" s="43" t="inlineStr">
        <is>
          <t>Switch</t>
        </is>
      </c>
      <c r="F25" s="43" t="inlineStr">
        <is>
          <t>Aggregation / Core</t>
        </is>
      </c>
      <c r="G25" s="43" t="inlineStr">
        <is>
          <t>AV UI; Engage; IT Web GUI; CLI; SNMP</t>
        </is>
      </c>
      <c r="H25" s="43" t="inlineStr">
        <is>
          <t>Active</t>
        </is>
      </c>
      <c r="I25" s="44" t="n"/>
      <c r="J25" s="45" t="n"/>
      <c r="K25" s="45" t="n"/>
      <c r="L25" s="43" t="inlineStr">
        <is>
          <t>1U rack</t>
        </is>
      </c>
      <c r="M25" s="43" t="n">
        <v>1</v>
      </c>
      <c r="N25" s="43" t="inlineStr">
        <is>
          <t>Half width</t>
        </is>
      </c>
      <c r="O25" s="43" t="n">
        <v>220</v>
      </c>
      <c r="P25" s="43" t="n">
        <v>400</v>
      </c>
      <c r="Q25" s="43" t="n">
        <v>43.2</v>
      </c>
      <c r="R25" s="46" t="n">
        <v>4.3</v>
      </c>
      <c r="S25" s="43" t="n">
        <v>0</v>
      </c>
      <c r="T25" s="43" t="n">
        <v>0</v>
      </c>
      <c r="U25" s="43" t="n">
        <v>12</v>
      </c>
      <c r="V25" s="43" t="n">
        <v>0</v>
      </c>
      <c r="W25" s="43" t="n">
        <v>0</v>
      </c>
      <c r="X25" s="43" t="n">
        <v>12</v>
      </c>
      <c r="Y25" s="43" t="n">
        <v>0</v>
      </c>
      <c r="Z25" s="43" t="n">
        <v>0</v>
      </c>
      <c r="AA25" s="43" t="n">
        <v>0</v>
      </c>
      <c r="AB25" s="43" t="n">
        <v>0</v>
      </c>
      <c r="AC25" s="43" t="n">
        <v>0</v>
      </c>
      <c r="AD25" s="43" t="n">
        <v>0</v>
      </c>
      <c r="AE25" s="43" t="n">
        <v>0</v>
      </c>
      <c r="AF25" s="47">
        <f>SUM(S25:AE25)</f>
        <v/>
      </c>
      <c r="AG25" s="43" t="n"/>
      <c r="AH25" s="43" t="inlineStr">
        <is>
          <t>1G on copper 1-12 and SFP+ 13-20 only</t>
        </is>
      </c>
      <c r="AI25" s="43" t="n">
        <v>0</v>
      </c>
      <c r="AJ25" s="43" t="inlineStr">
        <is>
          <t>None</t>
        </is>
      </c>
      <c r="AK25" s="43" t="n"/>
      <c r="AL25" s="48" t="n"/>
      <c r="AM25" s="48" t="n"/>
      <c r="AN25" s="43" t="n"/>
      <c r="AO25" s="49">
        <f>IFERROR(AM25/AI25,"")</f>
        <v/>
      </c>
      <c r="AP25" s="43" t="n"/>
      <c r="AQ25" s="43" t="n"/>
      <c r="AR25" s="43" t="n"/>
      <c r="AS25" s="43" t="inlineStr">
        <is>
          <t>Internal fixed (C14)</t>
        </is>
      </c>
      <c r="AT25" s="43" t="n">
        <v>240</v>
      </c>
      <c r="AU25" s="43" t="n">
        <v>1</v>
      </c>
      <c r="AV25" s="43" t="n">
        <v>0</v>
      </c>
      <c r="AW25" s="43" t="inlineStr">
        <is>
          <t>None (fixed)</t>
        </is>
      </c>
      <c r="AX25" s="43" t="n">
        <v>34</v>
      </c>
      <c r="AY25" s="43" t="n">
        <v>95.8</v>
      </c>
      <c r="AZ25" s="43" t="n"/>
      <c r="BA25" s="50">
        <f>IF(MAX(AY25,AZ25)=0,"",ROUND(MAX(AY25,AZ25)*3.412,0))</f>
        <v/>
      </c>
      <c r="BB25" s="48" t="n">
        <v>480</v>
      </c>
      <c r="BC25" s="46" t="n">
        <v>357.12</v>
      </c>
      <c r="BD25" s="43" t="n">
        <v>32</v>
      </c>
      <c r="BE25" s="43" t="n">
        <v>2</v>
      </c>
      <c r="BF25" s="43" t="inlineStr">
        <is>
          <t>Quad-core Cortex-A57 1.8GHz</t>
        </is>
      </c>
      <c r="BG25" s="48" t="n">
        <v>16384</v>
      </c>
      <c r="BH25" s="43" t="n">
        <v>4093</v>
      </c>
      <c r="BI25" s="43" t="inlineStr">
        <is>
          <t>2K IPv4 / 2K IPv6</t>
        </is>
      </c>
      <c r="BJ25" s="43" t="n"/>
      <c r="BK25" s="51" t="inlineStr">
        <is>
          <t>Full L3 (static, RIP, OSPF, VRRP, PIM-SM/DM, PBR)</t>
        </is>
      </c>
      <c r="BL25" s="43" t="inlineStr">
        <is>
          <t>Yes (NSF)</t>
        </is>
      </c>
      <c r="BM25" s="43" t="n">
        <v>8</v>
      </c>
      <c r="BN25" s="43" t="inlineStr">
        <is>
          <t>Yes (exclusive with stacking)</t>
        </is>
      </c>
      <c r="BO25" s="43" t="inlineStr">
        <is>
          <t>PTPv2 1-step E2E Transparent Clock</t>
        </is>
      </c>
      <c r="BP25" s="43" t="inlineStr">
        <is>
          <t>No</t>
        </is>
      </c>
      <c r="BQ25" s="43" t="inlineStr">
        <is>
          <t>Yes</t>
        </is>
      </c>
      <c r="BR25" s="43" t="inlineStr">
        <is>
          <t>Yes</t>
        </is>
      </c>
      <c r="BS25" s="43" t="inlineStr">
        <is>
          <t>No</t>
        </is>
      </c>
      <c r="BT25" s="43" t="n">
        <v>50</v>
      </c>
      <c r="BU25" s="43" t="inlineStr">
        <is>
          <t>Front-to-back</t>
        </is>
      </c>
      <c r="BV25" s="43" t="inlineStr">
        <is>
          <t>No (Quiet / Cool modes)</t>
        </is>
      </c>
      <c r="BW25" s="43" t="n">
        <v>34.34</v>
      </c>
      <c r="BX25" s="48" t="n">
        <v>780202</v>
      </c>
      <c r="BY25" s="51" t="inlineStr">
        <is>
          <t>ProSAFE Limited Lifetime HW; Lifetime NBD replacement</t>
        </is>
      </c>
      <c r="BZ25" s="43" t="inlineStr">
        <is>
          <t>Cat 3</t>
        </is>
      </c>
      <c r="CA25" s="43" t="inlineStr">
        <is>
          <t>Not listed</t>
        </is>
      </c>
      <c r="CB25" s="43" t="n"/>
      <c r="CC25" s="43" t="n"/>
      <c r="CD25" s="43" t="n"/>
      <c r="CE25" s="43" t="n"/>
      <c r="CF25" s="43" t="n"/>
      <c r="CG25" s="43" t="n"/>
      <c r="CH25" s="43" t="n"/>
      <c r="CI25" s="43" t="n"/>
      <c r="CJ25" s="43" t="n"/>
      <c r="CK25" s="51" t="inlineStr">
        <is>
          <t>M4350 datasheet DS-M4350-30May25 (fw 14.0) [file: M3450_Datasheet_30May25.pdf]</t>
        </is>
      </c>
      <c r="CL25" s="43" t="inlineStr">
        <is>
          <t>2026-09-27</t>
        </is>
      </c>
      <c r="CM25" s="43" t="n"/>
    </row>
    <row r="26" ht="46.25" customHeight="1" s="29">
      <c r="A26" s="43" t="inlineStr">
        <is>
          <t>XSM4328CV</t>
        </is>
      </c>
      <c r="B26" s="43" t="inlineStr">
        <is>
          <t>M4350-24X4V</t>
        </is>
      </c>
      <c r="C26" s="43" t="inlineStr">
        <is>
          <t>M4350</t>
        </is>
      </c>
      <c r="D26" s="43" t="inlineStr">
        <is>
          <t>NETGEAR AV and IT</t>
        </is>
      </c>
      <c r="E26" s="43" t="inlineStr">
        <is>
          <t>Switch</t>
        </is>
      </c>
      <c r="F26" s="43" t="inlineStr">
        <is>
          <t>Access / Edge</t>
        </is>
      </c>
      <c r="G26" s="43" t="inlineStr">
        <is>
          <t>AV UI; Engage; IT Web GUI; CLI; SNMP</t>
        </is>
      </c>
      <c r="H26" s="43" t="inlineStr">
        <is>
          <t>Active</t>
        </is>
      </c>
      <c r="I26" s="44" t="n"/>
      <c r="J26" s="45" t="n"/>
      <c r="K26" s="45" t="n"/>
      <c r="L26" s="43" t="inlineStr">
        <is>
          <t>1U rack</t>
        </is>
      </c>
      <c r="M26" s="43" t="n">
        <v>1</v>
      </c>
      <c r="N26" s="43" t="inlineStr">
        <is>
          <t>Full width</t>
        </is>
      </c>
      <c r="O26" s="43" t="n">
        <v>440</v>
      </c>
      <c r="P26" s="43" t="n">
        <v>400</v>
      </c>
      <c r="Q26" s="43" t="n">
        <v>43.2</v>
      </c>
      <c r="R26" s="46" t="n">
        <v>6.58</v>
      </c>
      <c r="S26" s="43" t="n">
        <v>0</v>
      </c>
      <c r="T26" s="43" t="n">
        <v>0</v>
      </c>
      <c r="U26" s="43" t="n">
        <v>24</v>
      </c>
      <c r="V26" s="43" t="n">
        <v>0</v>
      </c>
      <c r="W26" s="43" t="n">
        <v>0</v>
      </c>
      <c r="X26" s="43" t="n">
        <v>0</v>
      </c>
      <c r="Y26" s="43" t="n">
        <v>4</v>
      </c>
      <c r="Z26" s="43" t="n">
        <v>0</v>
      </c>
      <c r="AA26" s="43" t="n">
        <v>0</v>
      </c>
      <c r="AB26" s="43" t="n">
        <v>0</v>
      </c>
      <c r="AC26" s="43" t="n">
        <v>0</v>
      </c>
      <c r="AD26" s="43" t="n">
        <v>0</v>
      </c>
      <c r="AE26" s="43" t="n">
        <v>0</v>
      </c>
      <c r="AF26" s="47">
        <f>SUM(S26:AE26)</f>
        <v/>
      </c>
      <c r="AG26" s="43" t="n"/>
      <c r="AH26" s="51" t="inlineStr">
        <is>
          <t>100M only on ports 1-16. SFP28 25-28: 10G or 25G only</t>
        </is>
      </c>
      <c r="AI26" s="43" t="n">
        <v>24</v>
      </c>
      <c r="AJ26" s="43" t="inlineStr">
        <is>
          <t>802.3at PoE+</t>
        </is>
      </c>
      <c r="AK26" s="43" t="n">
        <v>30</v>
      </c>
      <c r="AL26" s="48" t="n">
        <v>576</v>
      </c>
      <c r="AM26" s="48" t="n">
        <v>720</v>
      </c>
      <c r="AN26" s="43" t="n">
        <v>576</v>
      </c>
      <c r="AO26" s="49">
        <f>IFERROR(AM26/AI26,"")</f>
        <v/>
      </c>
      <c r="AP26" s="43" t="n"/>
      <c r="AQ26" s="43" t="n"/>
      <c r="AR26" s="43" t="n"/>
      <c r="AS26" s="43" t="inlineStr">
        <is>
          <t>Internal fixed + modular slots</t>
        </is>
      </c>
      <c r="AT26" s="43" t="n">
        <v>880</v>
      </c>
      <c r="AU26" s="43" t="n">
        <v>1</v>
      </c>
      <c r="AV26" s="43" t="n">
        <v>1</v>
      </c>
      <c r="AW26" s="51" t="inlineStr">
        <is>
          <t>A: APS350W / APS600Wv2 / APS920W / APS2000W</t>
        </is>
      </c>
      <c r="AX26" s="43" t="n">
        <v>53.6</v>
      </c>
      <c r="AY26" s="43" t="n">
        <v>119.4</v>
      </c>
      <c r="AZ26" s="43" t="n">
        <v>907.8</v>
      </c>
      <c r="BA26" s="50">
        <f>IF(MAX(AY26,AZ26)=0,"",ROUND(MAX(AY26,AZ26)*3.412,0))</f>
        <v/>
      </c>
      <c r="BB26" s="48" t="n">
        <v>680</v>
      </c>
      <c r="BC26" s="46" t="n">
        <v>505.92</v>
      </c>
      <c r="BD26" s="43" t="n">
        <v>32</v>
      </c>
      <c r="BE26" s="43" t="n">
        <v>2</v>
      </c>
      <c r="BF26" s="43" t="inlineStr">
        <is>
          <t>Quad-core Cortex-A57 1.8GHz</t>
        </is>
      </c>
      <c r="BG26" s="48" t="n">
        <v>16384</v>
      </c>
      <c r="BH26" s="43" t="n">
        <v>4093</v>
      </c>
      <c r="BI26" s="43" t="inlineStr">
        <is>
          <t>2K IPv4 / 2K IPv6</t>
        </is>
      </c>
      <c r="BJ26" s="43" t="n"/>
      <c r="BK26" s="51" t="inlineStr">
        <is>
          <t>Full L3 (static, RIP, OSPF, VRRP, PIM-SM/DM, PBR)</t>
        </is>
      </c>
      <c r="BL26" s="43" t="inlineStr">
        <is>
          <t>Yes (NSF)</t>
        </is>
      </c>
      <c r="BM26" s="43" t="n">
        <v>8</v>
      </c>
      <c r="BN26" s="43" t="inlineStr">
        <is>
          <t>Yes (exclusive with stacking)</t>
        </is>
      </c>
      <c r="BO26" s="43" t="inlineStr">
        <is>
          <t>PTPv2 1-step E2E Transparent Clock</t>
        </is>
      </c>
      <c r="BP26" s="43" t="inlineStr">
        <is>
          <t>No</t>
        </is>
      </c>
      <c r="BQ26" s="43" t="inlineStr">
        <is>
          <t>Yes</t>
        </is>
      </c>
      <c r="BR26" s="43" t="inlineStr">
        <is>
          <t>Yes</t>
        </is>
      </c>
      <c r="BS26" s="43" t="inlineStr">
        <is>
          <t>No</t>
        </is>
      </c>
      <c r="BT26" s="43" t="n">
        <v>45</v>
      </c>
      <c r="BU26" s="43" t="inlineStr">
        <is>
          <t>Front-to-back</t>
        </is>
      </c>
      <c r="BV26" s="43" t="inlineStr">
        <is>
          <t>No (Quiet / Cool modes)</t>
        </is>
      </c>
      <c r="BW26" s="43" t="n">
        <v>34.7</v>
      </c>
      <c r="BX26" s="48" t="n">
        <v>486832</v>
      </c>
      <c r="BY26" s="51" t="inlineStr">
        <is>
          <t>ProSAFE Limited Lifetime HW; Lifetime NBD replacement</t>
        </is>
      </c>
      <c r="BZ26" s="43" t="inlineStr">
        <is>
          <t>Cat 3</t>
        </is>
      </c>
      <c r="CA26" s="43" t="inlineStr">
        <is>
          <t>Yes (-TAANES)</t>
        </is>
      </c>
      <c r="CB26" s="43" t="n"/>
      <c r="CC26" s="43" t="n"/>
      <c r="CD26" s="43" t="n"/>
      <c r="CE26" s="43" t="n"/>
      <c r="CF26" s="43" t="n"/>
      <c r="CG26" s="43" t="n"/>
      <c r="CH26" s="43" t="n"/>
      <c r="CI26" s="43" t="n"/>
      <c r="CJ26" s="43" t="n"/>
      <c r="CK26" s="51" t="inlineStr">
        <is>
          <t>M4350 datasheet DS-M4350-30May25 (fw 14.0) [file: M3450_Datasheet_30May25.pdf]</t>
        </is>
      </c>
      <c r="CL26" s="43" t="inlineStr">
        <is>
          <t>2026-09-27</t>
        </is>
      </c>
      <c r="CM26" s="43" t="n"/>
    </row>
    <row r="27" ht="46.25" customHeight="1" s="29">
      <c r="A27" s="43" t="inlineStr">
        <is>
          <t>XSM4328FV</t>
        </is>
      </c>
      <c r="B27" s="43" t="inlineStr">
        <is>
          <t>M4350-24F4V</t>
        </is>
      </c>
      <c r="C27" s="43" t="inlineStr">
        <is>
          <t>M4350</t>
        </is>
      </c>
      <c r="D27" s="43" t="inlineStr">
        <is>
          <t>NETGEAR AV and IT</t>
        </is>
      </c>
      <c r="E27" s="43" t="inlineStr">
        <is>
          <t>Switch</t>
        </is>
      </c>
      <c r="F27" s="43" t="inlineStr">
        <is>
          <t>Aggregation / Core</t>
        </is>
      </c>
      <c r="G27" s="43" t="inlineStr">
        <is>
          <t>AV UI; Engage; IT Web GUI; CLI; SNMP</t>
        </is>
      </c>
      <c r="H27" s="43" t="inlineStr">
        <is>
          <t>Active</t>
        </is>
      </c>
      <c r="I27" s="44" t="n"/>
      <c r="J27" s="45" t="n"/>
      <c r="K27" s="45" t="n"/>
      <c r="L27" s="43" t="inlineStr">
        <is>
          <t>1U rack</t>
        </is>
      </c>
      <c r="M27" s="43" t="n">
        <v>1</v>
      </c>
      <c r="N27" s="43" t="inlineStr">
        <is>
          <t>Full width</t>
        </is>
      </c>
      <c r="O27" s="43" t="n">
        <v>440</v>
      </c>
      <c r="P27" s="43" t="n">
        <v>400</v>
      </c>
      <c r="Q27" s="43" t="n">
        <v>43.2</v>
      </c>
      <c r="R27" s="46" t="n">
        <v>6.25</v>
      </c>
      <c r="S27" s="43" t="n">
        <v>0</v>
      </c>
      <c r="T27" s="43" t="n">
        <v>0</v>
      </c>
      <c r="U27" s="43" t="n">
        <v>0</v>
      </c>
      <c r="V27" s="43" t="n">
        <v>0</v>
      </c>
      <c r="W27" s="43" t="n">
        <v>0</v>
      </c>
      <c r="X27" s="43" t="n">
        <v>24</v>
      </c>
      <c r="Y27" s="43" t="n">
        <v>4</v>
      </c>
      <c r="Z27" s="43" t="n">
        <v>0</v>
      </c>
      <c r="AA27" s="43" t="n">
        <v>0</v>
      </c>
      <c r="AB27" s="43" t="n">
        <v>0</v>
      </c>
      <c r="AC27" s="43" t="n">
        <v>0</v>
      </c>
      <c r="AD27" s="43" t="n">
        <v>0</v>
      </c>
      <c r="AE27" s="43" t="n">
        <v>0</v>
      </c>
      <c r="AF27" s="47">
        <f>SUM(S27:AE27)</f>
        <v/>
      </c>
      <c r="AG27" s="43" t="n"/>
      <c r="AH27" s="51" t="inlineStr">
        <is>
          <t>1G on SFP+ 1-16 only. SFP28 25-28: 10G or 25G only</t>
        </is>
      </c>
      <c r="AI27" s="43" t="n">
        <v>0</v>
      </c>
      <c r="AJ27" s="43" t="inlineStr">
        <is>
          <t>None</t>
        </is>
      </c>
      <c r="AK27" s="43" t="n"/>
      <c r="AL27" s="48" t="n"/>
      <c r="AM27" s="48" t="n"/>
      <c r="AN27" s="43" t="n"/>
      <c r="AO27" s="49">
        <f>IFERROR(AM27/AI27,"")</f>
        <v/>
      </c>
      <c r="AP27" s="43" t="n"/>
      <c r="AQ27" s="43" t="n"/>
      <c r="AR27" s="43" t="n"/>
      <c r="AS27" s="43" t="inlineStr">
        <is>
          <t>Internal fixed + modular slots</t>
        </is>
      </c>
      <c r="AT27" s="43" t="n">
        <v>240</v>
      </c>
      <c r="AU27" s="43" t="n">
        <v>1</v>
      </c>
      <c r="AV27" s="43" t="n">
        <v>1</v>
      </c>
      <c r="AW27" s="51" t="inlineStr">
        <is>
          <t>A: APS350W / APS600Wv2 / APS920W / APS2000W</t>
        </is>
      </c>
      <c r="AX27" s="43" t="n">
        <v>45.2</v>
      </c>
      <c r="AY27" s="43" t="n">
        <v>119.3</v>
      </c>
      <c r="AZ27" s="43" t="n"/>
      <c r="BA27" s="50">
        <f>IF(MAX(AY27,AZ27)=0,"",ROUND(MAX(AY27,AZ27)*3.412,0))</f>
        <v/>
      </c>
      <c r="BB27" s="48" t="n">
        <v>680</v>
      </c>
      <c r="BC27" s="46" t="n">
        <v>505.92</v>
      </c>
      <c r="BD27" s="43" t="n">
        <v>32</v>
      </c>
      <c r="BE27" s="43" t="n">
        <v>2</v>
      </c>
      <c r="BF27" s="43" t="inlineStr">
        <is>
          <t>Quad-core Cortex-A57 1.8GHz</t>
        </is>
      </c>
      <c r="BG27" s="48" t="n">
        <v>16384</v>
      </c>
      <c r="BH27" s="43" t="n">
        <v>4093</v>
      </c>
      <c r="BI27" s="43" t="inlineStr">
        <is>
          <t>2K IPv4 / 2K IPv6</t>
        </is>
      </c>
      <c r="BJ27" s="43" t="n"/>
      <c r="BK27" s="51" t="inlineStr">
        <is>
          <t>Full L3 (static, RIP, OSPF, VRRP, PIM-SM/DM, PBR)</t>
        </is>
      </c>
      <c r="BL27" s="43" t="inlineStr">
        <is>
          <t>Yes (NSF)</t>
        </is>
      </c>
      <c r="BM27" s="43" t="n">
        <v>8</v>
      </c>
      <c r="BN27" s="43" t="inlineStr">
        <is>
          <t>Yes (exclusive with stacking)</t>
        </is>
      </c>
      <c r="BO27" s="43" t="inlineStr">
        <is>
          <t>PTPv2 1-step E2E Transparent Clock</t>
        </is>
      </c>
      <c r="BP27" s="43" t="inlineStr">
        <is>
          <t>No</t>
        </is>
      </c>
      <c r="BQ27" s="43" t="inlineStr">
        <is>
          <t>Yes</t>
        </is>
      </c>
      <c r="BR27" s="43" t="inlineStr">
        <is>
          <t>Yes</t>
        </is>
      </c>
      <c r="BS27" s="43" t="inlineStr">
        <is>
          <t>No</t>
        </is>
      </c>
      <c r="BT27" s="43" t="n">
        <v>50</v>
      </c>
      <c r="BU27" s="43" t="inlineStr">
        <is>
          <t>Front-to-back</t>
        </is>
      </c>
      <c r="BV27" s="43" t="inlineStr">
        <is>
          <t>No (Quiet / Cool modes)</t>
        </is>
      </c>
      <c r="BW27" s="43" t="n">
        <v>34.2</v>
      </c>
      <c r="BX27" s="48" t="n">
        <v>778741</v>
      </c>
      <c r="BY27" s="51" t="inlineStr">
        <is>
          <t>ProSAFE Limited Lifetime HW; Lifetime NBD replacement</t>
        </is>
      </c>
      <c r="BZ27" s="43" t="inlineStr">
        <is>
          <t>Cat 3</t>
        </is>
      </c>
      <c r="CA27" s="43" t="inlineStr">
        <is>
          <t>Not listed</t>
        </is>
      </c>
      <c r="CB27" s="43" t="n"/>
      <c r="CC27" s="43" t="n"/>
      <c r="CD27" s="43" t="n"/>
      <c r="CE27" s="43" t="n"/>
      <c r="CF27" s="43" t="n"/>
      <c r="CG27" s="43" t="n"/>
      <c r="CH27" s="43" t="n"/>
      <c r="CI27" s="43" t="n"/>
      <c r="CJ27" s="43" t="n"/>
      <c r="CK27" s="51" t="inlineStr">
        <is>
          <t>M4350 datasheet DS-M4350-30May25 (fw 14.0) [file: M3450_Datasheet_30May25.pdf]</t>
        </is>
      </c>
      <c r="CL27" s="43" t="inlineStr">
        <is>
          <t>2026-09-27</t>
        </is>
      </c>
      <c r="CM27" s="43" t="inlineStr">
        <is>
          <t>Modular slot = RPS only (no PoE)</t>
        </is>
      </c>
    </row>
    <row r="28" ht="46.25" customHeight="1" s="29">
      <c r="A28" s="43" t="inlineStr">
        <is>
          <t>XSM4340CV</t>
        </is>
      </c>
      <c r="B28" s="43" t="inlineStr">
        <is>
          <t>M4350-36X4V</t>
        </is>
      </c>
      <c r="C28" s="43" t="inlineStr">
        <is>
          <t>M4350</t>
        </is>
      </c>
      <c r="D28" s="43" t="inlineStr">
        <is>
          <t>NETGEAR AV and IT</t>
        </is>
      </c>
      <c r="E28" s="43" t="inlineStr">
        <is>
          <t>Switch</t>
        </is>
      </c>
      <c r="F28" s="43" t="inlineStr">
        <is>
          <t>Access / Edge</t>
        </is>
      </c>
      <c r="G28" s="43" t="inlineStr">
        <is>
          <t>AV UI; Engage; IT Web GUI; CLI; SNMP</t>
        </is>
      </c>
      <c r="H28" s="43" t="inlineStr">
        <is>
          <t>Active</t>
        </is>
      </c>
      <c r="I28" s="44" t="n"/>
      <c r="J28" s="45" t="n"/>
      <c r="K28" s="45" t="n"/>
      <c r="L28" s="43" t="inlineStr">
        <is>
          <t>1U rack</t>
        </is>
      </c>
      <c r="M28" s="43" t="n">
        <v>1</v>
      </c>
      <c r="N28" s="43" t="inlineStr">
        <is>
          <t>Full width</t>
        </is>
      </c>
      <c r="O28" s="43" t="n">
        <v>440</v>
      </c>
      <c r="P28" s="43" t="n">
        <v>400</v>
      </c>
      <c r="Q28" s="43" t="n">
        <v>43.2</v>
      </c>
      <c r="R28" s="46" t="n">
        <v>7.33</v>
      </c>
      <c r="S28" s="43" t="n">
        <v>0</v>
      </c>
      <c r="T28" s="43" t="n">
        <v>0</v>
      </c>
      <c r="U28" s="43" t="n">
        <v>36</v>
      </c>
      <c r="V28" s="43" t="n">
        <v>0</v>
      </c>
      <c r="W28" s="43" t="n">
        <v>0</v>
      </c>
      <c r="X28" s="43" t="n">
        <v>0</v>
      </c>
      <c r="Y28" s="43" t="n">
        <v>4</v>
      </c>
      <c r="Z28" s="43" t="n">
        <v>0</v>
      </c>
      <c r="AA28" s="43" t="n">
        <v>0</v>
      </c>
      <c r="AB28" s="43" t="n">
        <v>0</v>
      </c>
      <c r="AC28" s="43" t="n">
        <v>0</v>
      </c>
      <c r="AD28" s="43" t="n">
        <v>0</v>
      </c>
      <c r="AE28" s="43" t="n">
        <v>0</v>
      </c>
      <c r="AF28" s="47">
        <f>SUM(S28:AE28)</f>
        <v/>
      </c>
      <c r="AG28" s="43" t="n"/>
      <c r="AH28" s="43" t="inlineStr">
        <is>
          <t>100M only on ports 1-28</t>
        </is>
      </c>
      <c r="AI28" s="43" t="n">
        <v>36</v>
      </c>
      <c r="AJ28" s="43" t="inlineStr">
        <is>
          <t>802.3bt Ultra90 PoE++</t>
        </is>
      </c>
      <c r="AK28" s="43" t="n">
        <v>90</v>
      </c>
      <c r="AL28" s="48" t="n">
        <v>280</v>
      </c>
      <c r="AM28" s="48" t="n">
        <v>1760</v>
      </c>
      <c r="AN28" s="43" t="n">
        <v>280</v>
      </c>
      <c r="AO28" s="49">
        <f>IFERROR(AM28/AI28,"")</f>
        <v/>
      </c>
      <c r="AP28" s="43" t="n"/>
      <c r="AQ28" s="43" t="n"/>
      <c r="AR28" s="43" t="n"/>
      <c r="AS28" s="43" t="inlineStr">
        <is>
          <t>Internal fixed + modular slots</t>
        </is>
      </c>
      <c r="AT28" s="43" t="n">
        <v>750</v>
      </c>
      <c r="AU28" s="43" t="n">
        <v>1</v>
      </c>
      <c r="AV28" s="43" t="n">
        <v>1</v>
      </c>
      <c r="AW28" s="43" t="inlineStr">
        <is>
          <t>B: APS600Wv3 / APS1200Wv2 / APS2000Wv2</t>
        </is>
      </c>
      <c r="AX28" s="43" t="n">
        <v>59.3</v>
      </c>
      <c r="AY28" s="43" t="n">
        <v>148</v>
      </c>
      <c r="AZ28" s="43" t="n">
        <v>2071.4</v>
      </c>
      <c r="BA28" s="50">
        <f>IF(MAX(AY28,AZ28)=0,"",ROUND(MAX(AY28,AZ28)*3.412,0))</f>
        <v/>
      </c>
      <c r="BB28" s="48" t="n">
        <v>920</v>
      </c>
      <c r="BC28" s="46" t="n">
        <v>684.48</v>
      </c>
      <c r="BD28" s="43" t="n">
        <v>64</v>
      </c>
      <c r="BE28" s="43" t="n">
        <v>4</v>
      </c>
      <c r="BF28" s="43" t="inlineStr">
        <is>
          <t>Quad-core Cortex-A57 1.8GHz</t>
        </is>
      </c>
      <c r="BG28" s="48" t="n">
        <v>16384</v>
      </c>
      <c r="BH28" s="43" t="n">
        <v>4093</v>
      </c>
      <c r="BI28" s="43" t="inlineStr">
        <is>
          <t>2K IPv4 / 2K IPv6</t>
        </is>
      </c>
      <c r="BJ28" s="43" t="n"/>
      <c r="BK28" s="51" t="inlineStr">
        <is>
          <t>Full L3 (static, RIP, OSPF, VRRP, PIM-SM/DM, PBR)</t>
        </is>
      </c>
      <c r="BL28" s="43" t="inlineStr">
        <is>
          <t>Yes (NSF)</t>
        </is>
      </c>
      <c r="BM28" s="43" t="n">
        <v>8</v>
      </c>
      <c r="BN28" s="43" t="inlineStr">
        <is>
          <t>Yes (exclusive with stacking)</t>
        </is>
      </c>
      <c r="BO28" s="43" t="inlineStr">
        <is>
          <t>PTPv2 1-step E2E Transparent Clock</t>
        </is>
      </c>
      <c r="BP28" s="43" t="inlineStr">
        <is>
          <t>No</t>
        </is>
      </c>
      <c r="BQ28" s="43" t="inlineStr">
        <is>
          <t>Yes</t>
        </is>
      </c>
      <c r="BR28" s="43" t="inlineStr">
        <is>
          <t>Yes</t>
        </is>
      </c>
      <c r="BS28" s="43" t="inlineStr">
        <is>
          <t>No</t>
        </is>
      </c>
      <c r="BT28" s="43" t="n">
        <v>45</v>
      </c>
      <c r="BU28" s="43" t="inlineStr">
        <is>
          <t>Front-to-back</t>
        </is>
      </c>
      <c r="BV28" s="43" t="inlineStr">
        <is>
          <t>No (Quiet / Cool modes)</t>
        </is>
      </c>
      <c r="BW28" s="43" t="n">
        <v>32.1</v>
      </c>
      <c r="BX28" s="48" t="n">
        <v>292505</v>
      </c>
      <c r="BY28" s="51" t="inlineStr">
        <is>
          <t>ProSAFE Limited Lifetime HW; Lifetime NBD replacement</t>
        </is>
      </c>
      <c r="BZ28" s="43" t="inlineStr">
        <is>
          <t>Cat 4</t>
        </is>
      </c>
      <c r="CA28" s="43" t="inlineStr">
        <is>
          <t>Not listed</t>
        </is>
      </c>
      <c r="CB28" s="43" t="n"/>
      <c r="CC28" s="43" t="n"/>
      <c r="CD28" s="43" t="n"/>
      <c r="CE28" s="43" t="n"/>
      <c r="CF28" s="43" t="n"/>
      <c r="CG28" s="43" t="n"/>
      <c r="CH28" s="43" t="n"/>
      <c r="CI28" s="43" t="n"/>
      <c r="CJ28" s="43" t="n"/>
      <c r="CK28" s="51" t="inlineStr">
        <is>
          <t>M4350 datasheet DS-M4350-30May25 (fw 14.0) [file: M3450_Datasheet_30May25.pdf]</t>
        </is>
      </c>
      <c r="CL28" s="43" t="inlineStr">
        <is>
          <t>2026-09-27</t>
        </is>
      </c>
      <c r="CM28" s="43" t="n"/>
    </row>
    <row r="29" ht="46.25" customHeight="1" s="29">
      <c r="A29" s="43" t="inlineStr">
        <is>
          <t>XSM4340V</t>
        </is>
      </c>
      <c r="B29" s="43" t="inlineStr">
        <is>
          <t>M4350-24X8F8V</t>
        </is>
      </c>
      <c r="C29" s="43" t="inlineStr">
        <is>
          <t>M4350</t>
        </is>
      </c>
      <c r="D29" s="43" t="inlineStr">
        <is>
          <t>NETGEAR AV and IT</t>
        </is>
      </c>
      <c r="E29" s="43" t="inlineStr">
        <is>
          <t>Switch</t>
        </is>
      </c>
      <c r="F29" s="43" t="inlineStr">
        <is>
          <t>Access / Edge</t>
        </is>
      </c>
      <c r="G29" s="43" t="inlineStr">
        <is>
          <t>AV UI; Engage; IT Web GUI; CLI; SNMP</t>
        </is>
      </c>
      <c r="H29" s="43" t="inlineStr">
        <is>
          <t>Active</t>
        </is>
      </c>
      <c r="I29" s="44" t="n"/>
      <c r="J29" s="45" t="n"/>
      <c r="K29" s="45" t="n"/>
      <c r="L29" s="43" t="inlineStr">
        <is>
          <t>1U rack</t>
        </is>
      </c>
      <c r="M29" s="43" t="n">
        <v>1</v>
      </c>
      <c r="N29" s="43" t="inlineStr">
        <is>
          <t>Full width</t>
        </is>
      </c>
      <c r="O29" s="43" t="n">
        <v>440</v>
      </c>
      <c r="P29" s="43" t="n">
        <v>400</v>
      </c>
      <c r="Q29" s="43" t="n">
        <v>43.2</v>
      </c>
      <c r="R29" s="46" t="n">
        <v>7.24</v>
      </c>
      <c r="S29" s="43" t="n">
        <v>0</v>
      </c>
      <c r="T29" s="43" t="n">
        <v>0</v>
      </c>
      <c r="U29" s="43" t="n">
        <v>24</v>
      </c>
      <c r="V29" s="43" t="n">
        <v>0</v>
      </c>
      <c r="W29" s="43" t="n">
        <v>0</v>
      </c>
      <c r="X29" s="43" t="n">
        <v>8</v>
      </c>
      <c r="Y29" s="43" t="n">
        <v>8</v>
      </c>
      <c r="Z29" s="43" t="n">
        <v>0</v>
      </c>
      <c r="AA29" s="43" t="n">
        <v>0</v>
      </c>
      <c r="AB29" s="43" t="n">
        <v>0</v>
      </c>
      <c r="AC29" s="43" t="n">
        <v>0</v>
      </c>
      <c r="AD29" s="43" t="n">
        <v>0</v>
      </c>
      <c r="AE29" s="43" t="n">
        <v>0</v>
      </c>
      <c r="AF29" s="47">
        <f>SUM(S29:AE29)</f>
        <v/>
      </c>
      <c r="AG29" s="43" t="n"/>
      <c r="AH29" s="51" t="inlineStr">
        <is>
          <t>1G on SFP+ 25-28 only. SFP28 33-40: 10G or 25G per 4-port block</t>
        </is>
      </c>
      <c r="AI29" s="43" t="n">
        <v>24</v>
      </c>
      <c r="AJ29" s="43" t="inlineStr">
        <is>
          <t>802.3bt Ultra90 PoE++</t>
        </is>
      </c>
      <c r="AK29" s="43" t="n">
        <v>90</v>
      </c>
      <c r="AL29" s="48" t="n">
        <v>290</v>
      </c>
      <c r="AM29" s="48" t="n">
        <v>1770</v>
      </c>
      <c r="AN29" s="43" t="n">
        <v>290</v>
      </c>
      <c r="AO29" s="49">
        <f>IFERROR(AM29/AI29,"")</f>
        <v/>
      </c>
      <c r="AP29" s="43" t="n"/>
      <c r="AQ29" s="43" t="n"/>
      <c r="AR29" s="43" t="n"/>
      <c r="AS29" s="43" t="inlineStr">
        <is>
          <t>Internal fixed + modular slots</t>
        </is>
      </c>
      <c r="AT29" s="43" t="n">
        <v>750</v>
      </c>
      <c r="AU29" s="43" t="n">
        <v>1</v>
      </c>
      <c r="AV29" s="43" t="n">
        <v>1</v>
      </c>
      <c r="AW29" s="43" t="inlineStr">
        <is>
          <t>B: APS600Wv3 / APS1200Wv2 / APS2000Wv2</t>
        </is>
      </c>
      <c r="AX29" s="43" t="n">
        <v>53.4</v>
      </c>
      <c r="AY29" s="43" t="n">
        <v>151.8</v>
      </c>
      <c r="AZ29" s="43" t="n">
        <v>2057.3</v>
      </c>
      <c r="BA29" s="50">
        <f>IF(MAX(AY29,AZ29)=0,"",ROUND(MAX(AY29,AZ29)*3.412,0))</f>
        <v/>
      </c>
      <c r="BB29" s="48" t="n">
        <v>1040</v>
      </c>
      <c r="BC29" s="46" t="n">
        <v>773.76</v>
      </c>
      <c r="BD29" s="43" t="n">
        <v>64</v>
      </c>
      <c r="BE29" s="43" t="n">
        <v>4</v>
      </c>
      <c r="BF29" s="43" t="inlineStr">
        <is>
          <t>Quad-core Cortex-A57 1.8GHz</t>
        </is>
      </c>
      <c r="BG29" s="48" t="n">
        <v>16384</v>
      </c>
      <c r="BH29" s="43" t="n">
        <v>4093</v>
      </c>
      <c r="BI29" s="43" t="inlineStr">
        <is>
          <t>2K IPv4 / 2K IPv6</t>
        </is>
      </c>
      <c r="BJ29" s="43" t="n"/>
      <c r="BK29" s="51" t="inlineStr">
        <is>
          <t>Full L3 (static, RIP, OSPF, VRRP, PIM-SM/DM, PBR)</t>
        </is>
      </c>
      <c r="BL29" s="43" t="inlineStr">
        <is>
          <t>Yes (NSF)</t>
        </is>
      </c>
      <c r="BM29" s="43" t="n">
        <v>8</v>
      </c>
      <c r="BN29" s="43" t="inlineStr">
        <is>
          <t>Yes (exclusive with stacking)</t>
        </is>
      </c>
      <c r="BO29" s="43" t="inlineStr">
        <is>
          <t>PTPv2 1-step E2E Transparent Clock</t>
        </is>
      </c>
      <c r="BP29" s="43" t="inlineStr">
        <is>
          <t>No</t>
        </is>
      </c>
      <c r="BQ29" s="43" t="inlineStr">
        <is>
          <t>Yes</t>
        </is>
      </c>
      <c r="BR29" s="43" t="inlineStr">
        <is>
          <t>Yes</t>
        </is>
      </c>
      <c r="BS29" s="43" t="inlineStr">
        <is>
          <t>No</t>
        </is>
      </c>
      <c r="BT29" s="43" t="n">
        <v>45</v>
      </c>
      <c r="BU29" s="43" t="inlineStr">
        <is>
          <t>Front-to-back</t>
        </is>
      </c>
      <c r="BV29" s="43" t="inlineStr">
        <is>
          <t>No (Quiet / Cool modes)</t>
        </is>
      </c>
      <c r="BW29" s="43" t="n">
        <v>32.6</v>
      </c>
      <c r="BX29" s="48" t="n">
        <v>386078</v>
      </c>
      <c r="BY29" s="51" t="inlineStr">
        <is>
          <t>ProSAFE Limited Lifetime HW; Lifetime NBD replacement</t>
        </is>
      </c>
      <c r="BZ29" s="43" t="inlineStr">
        <is>
          <t>Cat 4</t>
        </is>
      </c>
      <c r="CA29" s="43" t="inlineStr">
        <is>
          <t>Yes (-TAANES)</t>
        </is>
      </c>
      <c r="CB29" s="43" t="n"/>
      <c r="CC29" s="43" t="n"/>
      <c r="CD29" s="43" t="n"/>
      <c r="CE29" s="43" t="n"/>
      <c r="CF29" s="43" t="n"/>
      <c r="CG29" s="43" t="n"/>
      <c r="CH29" s="43" t="n"/>
      <c r="CI29" s="43" t="n"/>
      <c r="CJ29" s="43" t="n"/>
      <c r="CK29" s="51" t="inlineStr">
        <is>
          <t>M4350 datasheet DS-M4350-30May25 (fw 14.0) [file: M3450_Datasheet_30May25.pdf]</t>
        </is>
      </c>
      <c r="CL29" s="43" t="inlineStr">
        <is>
          <t>2026-09-27</t>
        </is>
      </c>
      <c r="CM29" s="43" t="n"/>
    </row>
    <row r="30" ht="46.25" customHeight="1" s="29">
      <c r="A30" s="43" t="inlineStr">
        <is>
          <t>XSM4340FV</t>
        </is>
      </c>
      <c r="B30" s="43" t="inlineStr">
        <is>
          <t>M4350-32F8V</t>
        </is>
      </c>
      <c r="C30" s="43" t="inlineStr">
        <is>
          <t>M4350</t>
        </is>
      </c>
      <c r="D30" s="43" t="inlineStr">
        <is>
          <t>NETGEAR AV and IT</t>
        </is>
      </c>
      <c r="E30" s="43" t="inlineStr">
        <is>
          <t>Switch</t>
        </is>
      </c>
      <c r="F30" s="43" t="inlineStr">
        <is>
          <t>Aggregation / Core</t>
        </is>
      </c>
      <c r="G30" s="43" t="inlineStr">
        <is>
          <t>AV UI; Engage; IT Web GUI; CLI; SNMP</t>
        </is>
      </c>
      <c r="H30" s="43" t="inlineStr">
        <is>
          <t>Active</t>
        </is>
      </c>
      <c r="I30" s="44" t="n"/>
      <c r="J30" s="45" t="n"/>
      <c r="K30" s="45" t="n"/>
      <c r="L30" s="43" t="inlineStr">
        <is>
          <t>1U rack</t>
        </is>
      </c>
      <c r="M30" s="43" t="n">
        <v>1</v>
      </c>
      <c r="N30" s="43" t="inlineStr">
        <is>
          <t>Full width</t>
        </is>
      </c>
      <c r="O30" s="43" t="n">
        <v>440</v>
      </c>
      <c r="P30" s="43" t="n">
        <v>400</v>
      </c>
      <c r="Q30" s="43" t="n">
        <v>43.2</v>
      </c>
      <c r="R30" s="46" t="n">
        <v>6.95</v>
      </c>
      <c r="S30" s="43" t="n">
        <v>0</v>
      </c>
      <c r="T30" s="43" t="n">
        <v>0</v>
      </c>
      <c r="U30" s="43" t="n">
        <v>0</v>
      </c>
      <c r="V30" s="43" t="n">
        <v>0</v>
      </c>
      <c r="W30" s="43" t="n">
        <v>0</v>
      </c>
      <c r="X30" s="43" t="n">
        <v>32</v>
      </c>
      <c r="Y30" s="43" t="n">
        <v>8</v>
      </c>
      <c r="Z30" s="43" t="n">
        <v>0</v>
      </c>
      <c r="AA30" s="43" t="n">
        <v>0</v>
      </c>
      <c r="AB30" s="43" t="n">
        <v>0</v>
      </c>
      <c r="AC30" s="43" t="n">
        <v>0</v>
      </c>
      <c r="AD30" s="43" t="n">
        <v>0</v>
      </c>
      <c r="AE30" s="43" t="n">
        <v>0</v>
      </c>
      <c r="AF30" s="47">
        <f>SUM(S30:AE30)</f>
        <v/>
      </c>
      <c r="AG30" s="43" t="n"/>
      <c r="AH30" s="51" t="inlineStr">
        <is>
          <t>1G on SFP+ 1-28 only. SFP28 33-40: 10G or 25G per 4-port block</t>
        </is>
      </c>
      <c r="AI30" s="43" t="n">
        <v>0</v>
      </c>
      <c r="AJ30" s="43" t="inlineStr">
        <is>
          <t>None</t>
        </is>
      </c>
      <c r="AK30" s="43" t="n"/>
      <c r="AL30" s="48" t="n"/>
      <c r="AM30" s="48" t="n"/>
      <c r="AN30" s="43" t="n"/>
      <c r="AO30" s="49">
        <f>IFERROR(AM30/AI30,"")</f>
        <v/>
      </c>
      <c r="AP30" s="43" t="n"/>
      <c r="AQ30" s="43" t="n"/>
      <c r="AR30" s="43" t="n"/>
      <c r="AS30" s="43" t="inlineStr">
        <is>
          <t>Internal fixed + modular slots</t>
        </is>
      </c>
      <c r="AT30" s="43" t="n">
        <v>420</v>
      </c>
      <c r="AU30" s="43" t="n">
        <v>1</v>
      </c>
      <c r="AV30" s="43" t="n">
        <v>1</v>
      </c>
      <c r="AW30" s="43" t="inlineStr">
        <is>
          <t>B: APS600Wv3 / APS1200Wv2 / APS2000Wv2</t>
        </is>
      </c>
      <c r="AX30" s="43" t="n">
        <v>42.6</v>
      </c>
      <c r="AY30" s="43" t="n">
        <v>156.4</v>
      </c>
      <c r="AZ30" s="43" t="n"/>
      <c r="BA30" s="50">
        <f>IF(MAX(AY30,AZ30)=0,"",ROUND(MAX(AY30,AZ30)*3.412,0))</f>
        <v/>
      </c>
      <c r="BB30" s="48" t="n">
        <v>1040</v>
      </c>
      <c r="BC30" s="46" t="n">
        <v>773.76</v>
      </c>
      <c r="BD30" s="43" t="n">
        <v>64</v>
      </c>
      <c r="BE30" s="43" t="n">
        <v>4</v>
      </c>
      <c r="BF30" s="43" t="inlineStr">
        <is>
          <t>Quad-core Cortex-A57 1.8GHz</t>
        </is>
      </c>
      <c r="BG30" s="48" t="n">
        <v>16384</v>
      </c>
      <c r="BH30" s="43" t="n">
        <v>4093</v>
      </c>
      <c r="BI30" s="43" t="inlineStr">
        <is>
          <t>2K IPv4 / 2K IPv6</t>
        </is>
      </c>
      <c r="BJ30" s="43" t="n"/>
      <c r="BK30" s="51" t="inlineStr">
        <is>
          <t>Full L3 (static, RIP, OSPF, VRRP, PIM-SM/DM, PBR)</t>
        </is>
      </c>
      <c r="BL30" s="43" t="inlineStr">
        <is>
          <t>Yes (NSF)</t>
        </is>
      </c>
      <c r="BM30" s="43" t="n">
        <v>8</v>
      </c>
      <c r="BN30" s="43" t="inlineStr">
        <is>
          <t>Yes (exclusive with stacking)</t>
        </is>
      </c>
      <c r="BO30" s="43" t="inlineStr">
        <is>
          <t>PTPv2 1-step E2E Transparent Clock</t>
        </is>
      </c>
      <c r="BP30" s="43" t="inlineStr">
        <is>
          <t>No</t>
        </is>
      </c>
      <c r="BQ30" s="43" t="inlineStr">
        <is>
          <t>Yes</t>
        </is>
      </c>
      <c r="BR30" s="43" t="inlineStr">
        <is>
          <t>Yes</t>
        </is>
      </c>
      <c r="BS30" s="43" t="inlineStr">
        <is>
          <t>No</t>
        </is>
      </c>
      <c r="BT30" s="43" t="n">
        <v>50</v>
      </c>
      <c r="BU30" s="43" t="inlineStr">
        <is>
          <t>Front-to-back</t>
        </is>
      </c>
      <c r="BV30" s="43" t="inlineStr">
        <is>
          <t>No (Quiet / Cool modes)</t>
        </is>
      </c>
      <c r="BW30" s="43" t="n">
        <v>32.7</v>
      </c>
      <c r="BX30" s="48" t="n">
        <v>582420</v>
      </c>
      <c r="BY30" s="51" t="inlineStr">
        <is>
          <t>ProSAFE Limited Lifetime HW; Lifetime NBD replacement</t>
        </is>
      </c>
      <c r="BZ30" s="43" t="inlineStr">
        <is>
          <t>Cat 4</t>
        </is>
      </c>
      <c r="CA30" s="43" t="inlineStr">
        <is>
          <t>Yes (-TAANES)</t>
        </is>
      </c>
      <c r="CB30" s="43" t="n"/>
      <c r="CC30" s="43" t="n"/>
      <c r="CD30" s="43" t="n"/>
      <c r="CE30" s="43" t="n"/>
      <c r="CF30" s="43" t="n"/>
      <c r="CG30" s="43" t="n"/>
      <c r="CH30" s="43" t="n"/>
      <c r="CI30" s="43" t="n"/>
      <c r="CJ30" s="43" t="n"/>
      <c r="CK30" s="51" t="inlineStr">
        <is>
          <t>M4350 datasheet DS-M4350-30May25 (fw 14.0) [file: M3450_Datasheet_30May25.pdf]</t>
        </is>
      </c>
      <c r="CL30" s="43" t="inlineStr">
        <is>
          <t>2026-09-27</t>
        </is>
      </c>
      <c r="CM30" s="43" t="inlineStr">
        <is>
          <t>Modular slot = RPS only (no PoE)</t>
        </is>
      </c>
    </row>
    <row r="31" ht="46.25" customHeight="1" s="29">
      <c r="A31" s="43" t="inlineStr">
        <is>
          <t>VSM4320C</t>
        </is>
      </c>
      <c r="B31" s="43" t="inlineStr">
        <is>
          <t>M4350-16V4C</t>
        </is>
      </c>
      <c r="C31" s="43" t="inlineStr">
        <is>
          <t>M4350</t>
        </is>
      </c>
      <c r="D31" s="43" t="inlineStr">
        <is>
          <t>NETGEAR AV and IT</t>
        </is>
      </c>
      <c r="E31" s="43" t="inlineStr">
        <is>
          <t>Switch</t>
        </is>
      </c>
      <c r="F31" s="43" t="inlineStr">
        <is>
          <t>Aggregation / Core</t>
        </is>
      </c>
      <c r="G31" s="43" t="inlineStr">
        <is>
          <t>AV UI; Engage; IT Web GUI; CLI; SNMP</t>
        </is>
      </c>
      <c r="H31" s="43" t="inlineStr">
        <is>
          <t>Active</t>
        </is>
      </c>
      <c r="I31" s="44" t="n"/>
      <c r="J31" s="45" t="n"/>
      <c r="K31" s="45" t="n"/>
      <c r="L31" s="43" t="inlineStr">
        <is>
          <t>1U rack</t>
        </is>
      </c>
      <c r="M31" s="43" t="n">
        <v>1</v>
      </c>
      <c r="N31" s="43" t="inlineStr">
        <is>
          <t>Full width</t>
        </is>
      </c>
      <c r="O31" s="43" t="n">
        <v>440</v>
      </c>
      <c r="P31" s="43" t="n">
        <v>400</v>
      </c>
      <c r="Q31" s="43" t="n">
        <v>43.2</v>
      </c>
      <c r="R31" s="46" t="n">
        <v>7.15</v>
      </c>
      <c r="S31" s="43" t="n">
        <v>0</v>
      </c>
      <c r="T31" s="43" t="n">
        <v>0</v>
      </c>
      <c r="U31" s="43" t="n">
        <v>0</v>
      </c>
      <c r="V31" s="43" t="n">
        <v>0</v>
      </c>
      <c r="W31" s="43" t="n">
        <v>0</v>
      </c>
      <c r="X31" s="43" t="n">
        <v>0</v>
      </c>
      <c r="Y31" s="43" t="n">
        <v>16</v>
      </c>
      <c r="Z31" s="43" t="n">
        <v>4</v>
      </c>
      <c r="AA31" s="43" t="n">
        <v>0</v>
      </c>
      <c r="AB31" s="43" t="n">
        <v>0</v>
      </c>
      <c r="AC31" s="43" t="n">
        <v>0</v>
      </c>
      <c r="AD31" s="43" t="n">
        <v>0</v>
      </c>
      <c r="AE31" s="43" t="n">
        <v>0</v>
      </c>
      <c r="AF31" s="47">
        <f>SUM(S31:AE31)</f>
        <v/>
      </c>
      <c r="AG31" s="43" t="n"/>
      <c r="AH31" s="51" t="inlineStr">
        <is>
          <t>SFP28: 10G or 25G per 4-port block, no stacking on SFP28. QSFP28: 40/100G or 4x25G breakout</t>
        </is>
      </c>
      <c r="AI31" s="43" t="n">
        <v>0</v>
      </c>
      <c r="AJ31" s="43" t="inlineStr">
        <is>
          <t>None</t>
        </is>
      </c>
      <c r="AK31" s="43" t="n"/>
      <c r="AL31" s="48" t="n"/>
      <c r="AM31" s="48" t="n"/>
      <c r="AN31" s="43" t="n"/>
      <c r="AO31" s="49">
        <f>IFERROR(AM31/AI31,"")</f>
        <v/>
      </c>
      <c r="AP31" s="43" t="n"/>
      <c r="AQ31" s="43" t="n"/>
      <c r="AR31" s="43" t="n"/>
      <c r="AS31" s="43" t="inlineStr">
        <is>
          <t>Internal fixed + modular slots</t>
        </is>
      </c>
      <c r="AT31" s="43" t="n">
        <v>420</v>
      </c>
      <c r="AU31" s="43" t="n">
        <v>1</v>
      </c>
      <c r="AV31" s="43" t="n">
        <v>1</v>
      </c>
      <c r="AW31" s="43" t="inlineStr">
        <is>
          <t>B: APS600Wv3 / APS1200Wv2 / APS2000Wv2</t>
        </is>
      </c>
      <c r="AX31" s="43" t="n">
        <v>60.4</v>
      </c>
      <c r="AY31" s="43" t="n">
        <v>143.4</v>
      </c>
      <c r="AZ31" s="43" t="n"/>
      <c r="BA31" s="50">
        <f>IF(MAX(AY31,AZ31)=0,"",ROUND(MAX(AY31,AZ31)*3.412,0))</f>
        <v/>
      </c>
      <c r="BB31" s="48" t="n">
        <v>1600</v>
      </c>
      <c r="BC31" s="46" t="n">
        <v>1190.4</v>
      </c>
      <c r="BD31" s="43" t="n">
        <v>256</v>
      </c>
      <c r="BE31" s="43" t="n">
        <v>4</v>
      </c>
      <c r="BF31" s="43" t="inlineStr">
        <is>
          <t>Quad-core Cortex-A57 1.8GHz</t>
        </is>
      </c>
      <c r="BG31" s="48" t="n">
        <v>16384</v>
      </c>
      <c r="BH31" s="43" t="n">
        <v>4093</v>
      </c>
      <c r="BI31" s="43" t="inlineStr">
        <is>
          <t>2K IPv4 / 2K IPv6</t>
        </is>
      </c>
      <c r="BJ31" s="43" t="n"/>
      <c r="BK31" s="51" t="inlineStr">
        <is>
          <t>Full L3 (static, RIP, OSPF, VRRP, PIM-SM/DM, PBR)</t>
        </is>
      </c>
      <c r="BL31" s="43" t="inlineStr">
        <is>
          <t>Yes (NSF)</t>
        </is>
      </c>
      <c r="BM31" s="43" t="n">
        <v>8</v>
      </c>
      <c r="BN31" s="43" t="inlineStr">
        <is>
          <t>Yes (exclusive with stacking)</t>
        </is>
      </c>
      <c r="BO31" s="51" t="inlineStr">
        <is>
          <t>PTPv2 TC + Boundary/Grandmaster (SMPTE 2059-2, AES67, AES-R16)</t>
        </is>
      </c>
      <c r="BP31" s="43" t="inlineStr">
        <is>
          <t>Yes</t>
        </is>
      </c>
      <c r="BQ31" s="43" t="inlineStr">
        <is>
          <t>Yes</t>
        </is>
      </c>
      <c r="BR31" s="43" t="inlineStr">
        <is>
          <t>Yes</t>
        </is>
      </c>
      <c r="BS31" s="43" t="inlineStr">
        <is>
          <t>No</t>
        </is>
      </c>
      <c r="BT31" s="43" t="n">
        <v>50</v>
      </c>
      <c r="BU31" s="43" t="inlineStr">
        <is>
          <t>Front-to-back</t>
        </is>
      </c>
      <c r="BV31" s="43" t="inlineStr">
        <is>
          <t>No (Quiet / Cool modes)</t>
        </is>
      </c>
      <c r="BW31" s="43" t="n">
        <v>36.4</v>
      </c>
      <c r="BX31" s="48" t="n">
        <v>518782</v>
      </c>
      <c r="BY31" s="51" t="inlineStr">
        <is>
          <t>ProSAFE Limited Lifetime HW; Lifetime NBD replacement</t>
        </is>
      </c>
      <c r="BZ31" s="43" t="inlineStr">
        <is>
          <t>Cat 4</t>
        </is>
      </c>
      <c r="CA31" s="43" t="inlineStr">
        <is>
          <t>Yes (-TAANES)</t>
        </is>
      </c>
      <c r="CB31" s="43" t="n"/>
      <c r="CC31" s="43" t="n"/>
      <c r="CD31" s="43" t="n"/>
      <c r="CE31" s="43" t="n"/>
      <c r="CF31" s="43" t="n"/>
      <c r="CG31" s="43" t="n"/>
      <c r="CH31" s="43" t="n"/>
      <c r="CI31" s="43" t="n"/>
      <c r="CJ31" s="43" t="n"/>
      <c r="CK31" s="51" t="inlineStr">
        <is>
          <t>M4350 datasheet DS-M4350-30May25 (fw 14.0) [file: M3450_Datasheet_30May25.pdf]</t>
        </is>
      </c>
      <c r="CL31" s="43" t="inlineStr">
        <is>
          <t>2026-09-27</t>
        </is>
      </c>
      <c r="CM31" s="43" t="inlineStr">
        <is>
          <t>Modular slot = RPS only (no PoE)</t>
        </is>
      </c>
    </row>
    <row r="32" ht="46.25" customHeight="1" s="29">
      <c r="A32" s="43" t="inlineStr">
        <is>
          <t>XSM4344C</t>
        </is>
      </c>
      <c r="B32" s="43" t="inlineStr">
        <is>
          <t>M4350-40X4C</t>
        </is>
      </c>
      <c r="C32" s="43" t="inlineStr">
        <is>
          <t>M4350</t>
        </is>
      </c>
      <c r="D32" s="43" t="inlineStr">
        <is>
          <t>NETGEAR AV and IT</t>
        </is>
      </c>
      <c r="E32" s="43" t="inlineStr">
        <is>
          <t>Switch</t>
        </is>
      </c>
      <c r="F32" s="43" t="inlineStr">
        <is>
          <t>Access / Edge</t>
        </is>
      </c>
      <c r="G32" s="43" t="inlineStr">
        <is>
          <t>AV UI; Engage; IT Web GUI; CLI; SNMP</t>
        </is>
      </c>
      <c r="H32" s="43" t="inlineStr">
        <is>
          <t>Active</t>
        </is>
      </c>
      <c r="I32" s="44" t="n"/>
      <c r="J32" s="45" t="n"/>
      <c r="K32" s="45" t="n"/>
      <c r="L32" s="43" t="inlineStr">
        <is>
          <t>1U rack</t>
        </is>
      </c>
      <c r="M32" s="43" t="n">
        <v>1</v>
      </c>
      <c r="N32" s="43" t="inlineStr">
        <is>
          <t>Full width</t>
        </is>
      </c>
      <c r="O32" s="43" t="n">
        <v>440</v>
      </c>
      <c r="P32" s="43" t="n">
        <v>400</v>
      </c>
      <c r="Q32" s="43" t="n">
        <v>43.2</v>
      </c>
      <c r="R32" s="46" t="n">
        <v>7.76</v>
      </c>
      <c r="S32" s="43" t="n">
        <v>0</v>
      </c>
      <c r="T32" s="43" t="n">
        <v>0</v>
      </c>
      <c r="U32" s="43" t="n">
        <v>40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4</v>
      </c>
      <c r="AA32" s="43" t="n">
        <v>0</v>
      </c>
      <c r="AB32" s="43" t="n">
        <v>0</v>
      </c>
      <c r="AC32" s="43" t="n">
        <v>0</v>
      </c>
      <c r="AD32" s="43" t="n">
        <v>0</v>
      </c>
      <c r="AE32" s="43" t="n">
        <v>0</v>
      </c>
      <c r="AF32" s="47">
        <f>SUM(S32:AE32)</f>
        <v/>
      </c>
      <c r="AG32" s="43" t="n"/>
      <c r="AH32" s="51" t="inlineStr">
        <is>
          <t>10G RJ45: no 100M on any port. QSFP28: 40/100G or 4x25G breakout</t>
        </is>
      </c>
      <c r="AI32" s="43" t="n">
        <v>40</v>
      </c>
      <c r="AJ32" s="43" t="inlineStr">
        <is>
          <t>802.3bt Ultra90 PoE++</t>
        </is>
      </c>
      <c r="AK32" s="43" t="n">
        <v>90</v>
      </c>
      <c r="AL32" s="48" t="n">
        <v>196</v>
      </c>
      <c r="AM32" s="48" t="n">
        <v>1676</v>
      </c>
      <c r="AN32" s="43" t="n">
        <v>196</v>
      </c>
      <c r="AO32" s="49">
        <f>IFERROR(AM32/AI32,"")</f>
        <v/>
      </c>
      <c r="AP32" s="43" t="n"/>
      <c r="AQ32" s="43" t="n"/>
      <c r="AR32" s="43" t="n"/>
      <c r="AS32" s="43" t="inlineStr">
        <is>
          <t>Internal fixed + modular slots</t>
        </is>
      </c>
      <c r="AT32" s="43" t="n">
        <v>750</v>
      </c>
      <c r="AU32" s="43" t="n">
        <v>1</v>
      </c>
      <c r="AV32" s="43" t="n">
        <v>1</v>
      </c>
      <c r="AW32" s="43" t="inlineStr">
        <is>
          <t>B: APS600Wv3 / APS1200Wv2 / APS2000Wv2</t>
        </is>
      </c>
      <c r="AX32" s="43" t="n">
        <v>98.8</v>
      </c>
      <c r="AY32" s="43" t="n">
        <v>200.4</v>
      </c>
      <c r="AZ32" s="43" t="n">
        <v>2018.3</v>
      </c>
      <c r="BA32" s="50">
        <f>IF(MAX(AY32,AZ32)=0,"",ROUND(MAX(AY32,AZ32)*3.412,0))</f>
        <v/>
      </c>
      <c r="BB32" s="48" t="n">
        <v>1600</v>
      </c>
      <c r="BC32" s="46" t="n">
        <v>1190.4</v>
      </c>
      <c r="BD32" s="43" t="n">
        <v>256</v>
      </c>
      <c r="BE32" s="43" t="n">
        <v>4</v>
      </c>
      <c r="BF32" s="43" t="inlineStr">
        <is>
          <t>Quad-core Cortex-A57 1.8GHz</t>
        </is>
      </c>
      <c r="BG32" s="48" t="n">
        <v>16384</v>
      </c>
      <c r="BH32" s="43" t="n">
        <v>4093</v>
      </c>
      <c r="BI32" s="43" t="inlineStr">
        <is>
          <t>2K IPv4 / 2K IPv6</t>
        </is>
      </c>
      <c r="BJ32" s="43" t="n"/>
      <c r="BK32" s="51" t="inlineStr">
        <is>
          <t>Full L3 (static, RIP, OSPF, VRRP, PIM-SM/DM, PBR)</t>
        </is>
      </c>
      <c r="BL32" s="43" t="inlineStr">
        <is>
          <t>Yes (NSF)</t>
        </is>
      </c>
      <c r="BM32" s="43" t="n">
        <v>8</v>
      </c>
      <c r="BN32" s="43" t="inlineStr">
        <is>
          <t>Yes (exclusive with stacking)</t>
        </is>
      </c>
      <c r="BO32" s="51" t="inlineStr">
        <is>
          <t>PTPv2 TC + Boundary/Grandmaster (SMPTE 2059-2, AES67, AES-R16)</t>
        </is>
      </c>
      <c r="BP32" s="43" t="inlineStr">
        <is>
          <t>Yes</t>
        </is>
      </c>
      <c r="BQ32" s="43" t="inlineStr">
        <is>
          <t>Yes</t>
        </is>
      </c>
      <c r="BR32" s="43" t="inlineStr">
        <is>
          <t>Yes</t>
        </is>
      </c>
      <c r="BS32" s="43" t="inlineStr">
        <is>
          <t>No</t>
        </is>
      </c>
      <c r="BT32" s="43" t="n">
        <v>45</v>
      </c>
      <c r="BU32" s="43" t="inlineStr">
        <is>
          <t>Front-to-back</t>
        </is>
      </c>
      <c r="BV32" s="43" t="inlineStr">
        <is>
          <t>No (Quiet / Cool modes)</t>
        </is>
      </c>
      <c r="BW32" s="43" t="n">
        <v>34.1</v>
      </c>
      <c r="BX32" s="48" t="n">
        <v>229375</v>
      </c>
      <c r="BY32" s="51" t="inlineStr">
        <is>
          <t>ProSAFE Limited Lifetime HW; Lifetime NBD replacement</t>
        </is>
      </c>
      <c r="BZ32" s="43" t="inlineStr">
        <is>
          <t>Cat 4</t>
        </is>
      </c>
      <c r="CA32" s="43" t="inlineStr">
        <is>
          <t>Yes (-TAANES)</t>
        </is>
      </c>
      <c r="CB32" s="43" t="n"/>
      <c r="CC32" s="43" t="n"/>
      <c r="CD32" s="43" t="n"/>
      <c r="CE32" s="43" t="n"/>
      <c r="CF32" s="43" t="n"/>
      <c r="CG32" s="43" t="n"/>
      <c r="CH32" s="43" t="n"/>
      <c r="CI32" s="43" t="n"/>
      <c r="CJ32" s="43" t="n"/>
      <c r="CK32" s="51" t="inlineStr">
        <is>
          <t>M4350 datasheet DS-M4350-30May25 (fw 14.0) [file: M3450_Datasheet_30May25.pdf]</t>
        </is>
      </c>
      <c r="CL32" s="43" t="inlineStr">
        <is>
          <t>2026-09-27</t>
        </is>
      </c>
      <c r="CM32" s="43" t="n"/>
    </row>
    <row r="33" ht="46.25" customHeight="1" s="29">
      <c r="A33" s="43" t="inlineStr">
        <is>
          <t>XSM4344FC</t>
        </is>
      </c>
      <c r="B33" s="43" t="inlineStr">
        <is>
          <t>M4350-40F4C</t>
        </is>
      </c>
      <c r="C33" s="43" t="inlineStr">
        <is>
          <t>M4350</t>
        </is>
      </c>
      <c r="D33" s="43" t="inlineStr">
        <is>
          <t>NETGEAR AV and IT</t>
        </is>
      </c>
      <c r="E33" s="43" t="inlineStr">
        <is>
          <t>Switch</t>
        </is>
      </c>
      <c r="F33" s="43" t="inlineStr">
        <is>
          <t>Aggregation / Core</t>
        </is>
      </c>
      <c r="G33" s="43" t="inlineStr">
        <is>
          <t>AV UI; Engage; IT Web GUI; CLI; SNMP</t>
        </is>
      </c>
      <c r="H33" s="43" t="inlineStr">
        <is>
          <t>Active</t>
        </is>
      </c>
      <c r="I33" s="44" t="n"/>
      <c r="J33" s="45" t="n"/>
      <c r="K33" s="45" t="n"/>
      <c r="L33" s="43" t="inlineStr">
        <is>
          <t>1U rack</t>
        </is>
      </c>
      <c r="M33" s="43" t="n">
        <v>1</v>
      </c>
      <c r="N33" s="43" t="inlineStr">
        <is>
          <t>Full width</t>
        </is>
      </c>
      <c r="O33" s="43" t="n">
        <v>440</v>
      </c>
      <c r="P33" s="43" t="n">
        <v>400</v>
      </c>
      <c r="Q33" s="43" t="n">
        <v>43.2</v>
      </c>
      <c r="R33" s="46" t="n">
        <v>7.38</v>
      </c>
      <c r="S33" s="43" t="n">
        <v>0</v>
      </c>
      <c r="T33" s="43" t="n">
        <v>0</v>
      </c>
      <c r="U33" s="43" t="n">
        <v>0</v>
      </c>
      <c r="V33" s="43" t="n">
        <v>0</v>
      </c>
      <c r="W33" s="43" t="n">
        <v>0</v>
      </c>
      <c r="X33" s="43" t="n">
        <v>40</v>
      </c>
      <c r="Y33" s="43" t="n">
        <v>0</v>
      </c>
      <c r="Z33" s="43" t="n">
        <v>4</v>
      </c>
      <c r="AA33" s="43" t="n">
        <v>0</v>
      </c>
      <c r="AB33" s="43" t="n">
        <v>0</v>
      </c>
      <c r="AC33" s="43" t="n">
        <v>0</v>
      </c>
      <c r="AD33" s="43" t="n">
        <v>0</v>
      </c>
      <c r="AE33" s="43" t="n">
        <v>0</v>
      </c>
      <c r="AF33" s="47">
        <f>SUM(S33:AE33)</f>
        <v/>
      </c>
      <c r="AG33" s="43" t="n"/>
      <c r="AH33" s="51" t="inlineStr">
        <is>
          <t>SFP+ 1-40: 1G or 10G only. QSFP28: 40/100G or 4x25G breakout</t>
        </is>
      </c>
      <c r="AI33" s="43" t="n">
        <v>0</v>
      </c>
      <c r="AJ33" s="43" t="inlineStr">
        <is>
          <t>None</t>
        </is>
      </c>
      <c r="AK33" s="43" t="n"/>
      <c r="AL33" s="48" t="n"/>
      <c r="AM33" s="48" t="n"/>
      <c r="AN33" s="43" t="n"/>
      <c r="AO33" s="49">
        <f>IFERROR(AM33/AI33,"")</f>
        <v/>
      </c>
      <c r="AP33" s="43" t="n"/>
      <c r="AQ33" s="43" t="n"/>
      <c r="AR33" s="43" t="n"/>
      <c r="AS33" s="43" t="inlineStr">
        <is>
          <t>Internal fixed + modular slots</t>
        </is>
      </c>
      <c r="AT33" s="43" t="n">
        <v>420</v>
      </c>
      <c r="AU33" s="43" t="n">
        <v>1</v>
      </c>
      <c r="AV33" s="43" t="n">
        <v>1</v>
      </c>
      <c r="AW33" s="43" t="inlineStr">
        <is>
          <t>B: APS600Wv3 / APS1200Wv2 / APS2000Wv2</t>
        </is>
      </c>
      <c r="AX33" s="43" t="n">
        <v>65</v>
      </c>
      <c r="AY33" s="43" t="n">
        <v>213.6</v>
      </c>
      <c r="AZ33" s="43" t="n"/>
      <c r="BA33" s="50">
        <f>IF(MAX(AY33,AZ33)=0,"",ROUND(MAX(AY33,AZ33)*3.412,0))</f>
        <v/>
      </c>
      <c r="BB33" s="48" t="n">
        <v>1600</v>
      </c>
      <c r="BC33" s="46" t="n">
        <v>1190.4</v>
      </c>
      <c r="BD33" s="43" t="n">
        <v>256</v>
      </c>
      <c r="BE33" s="43" t="n">
        <v>4</v>
      </c>
      <c r="BF33" s="43" t="inlineStr">
        <is>
          <t>Quad-core Cortex-A57 1.8GHz</t>
        </is>
      </c>
      <c r="BG33" s="48" t="n">
        <v>16384</v>
      </c>
      <c r="BH33" s="43" t="n">
        <v>4093</v>
      </c>
      <c r="BI33" s="43" t="inlineStr">
        <is>
          <t>2K IPv4 / 2K IPv6</t>
        </is>
      </c>
      <c r="BJ33" s="43" t="n"/>
      <c r="BK33" s="51" t="inlineStr">
        <is>
          <t>Full L3 (static, RIP, OSPF, VRRP, PIM-SM/DM, PBR)</t>
        </is>
      </c>
      <c r="BL33" s="43" t="inlineStr">
        <is>
          <t>Yes (NSF)</t>
        </is>
      </c>
      <c r="BM33" s="43" t="n">
        <v>8</v>
      </c>
      <c r="BN33" s="43" t="inlineStr">
        <is>
          <t>Yes (exclusive with stacking)</t>
        </is>
      </c>
      <c r="BO33" s="51" t="inlineStr">
        <is>
          <t>PTPv2 TC + Boundary/Grandmaster (SMPTE 2059-2, AES67, AES-R16)</t>
        </is>
      </c>
      <c r="BP33" s="43" t="inlineStr">
        <is>
          <t>Yes</t>
        </is>
      </c>
      <c r="BQ33" s="43" t="inlineStr">
        <is>
          <t>Yes</t>
        </is>
      </c>
      <c r="BR33" s="43" t="inlineStr">
        <is>
          <t>Yes</t>
        </is>
      </c>
      <c r="BS33" s="43" t="inlineStr">
        <is>
          <t>No</t>
        </is>
      </c>
      <c r="BT33" s="43" t="n">
        <v>50</v>
      </c>
      <c r="BU33" s="43" t="inlineStr">
        <is>
          <t>Front-to-back</t>
        </is>
      </c>
      <c r="BV33" s="43" t="inlineStr">
        <is>
          <t>No (Quiet / Cool modes)</t>
        </is>
      </c>
      <c r="BW33" s="43" t="n">
        <v>34</v>
      </c>
      <c r="BX33" s="48" t="n">
        <v>380163</v>
      </c>
      <c r="BY33" s="51" t="inlineStr">
        <is>
          <t>ProSAFE Limited Lifetime HW; Lifetime NBD replacement</t>
        </is>
      </c>
      <c r="BZ33" s="43" t="inlineStr">
        <is>
          <t>Cat 4</t>
        </is>
      </c>
      <c r="CA33" s="43" t="inlineStr">
        <is>
          <t>Yes (-TAANES)</t>
        </is>
      </c>
      <c r="CB33" s="43" t="n"/>
      <c r="CC33" s="43" t="n"/>
      <c r="CD33" s="43" t="n"/>
      <c r="CE33" s="43" t="n"/>
      <c r="CF33" s="43" t="n"/>
      <c r="CG33" s="43" t="n"/>
      <c r="CH33" s="43" t="n"/>
      <c r="CI33" s="43" t="n"/>
      <c r="CJ33" s="43" t="n"/>
      <c r="CK33" s="51" t="inlineStr">
        <is>
          <t>M4350 datasheet DS-M4350-30May25 (fw 14.0) [file: M3450_Datasheet_30May25.pdf]</t>
        </is>
      </c>
      <c r="CL33" s="43" t="inlineStr">
        <is>
          <t>2026-09-27</t>
        </is>
      </c>
      <c r="CM33" s="43" t="inlineStr">
        <is>
          <t>Modular slot = RPS only (no PoE)</t>
        </is>
      </c>
    </row>
    <row r="34" ht="57.45" customHeight="1" s="29">
      <c r="A34" s="43" t="inlineStr">
        <is>
          <t>PR460X</t>
        </is>
      </c>
      <c r="B34" s="43" t="inlineStr">
        <is>
          <t>PR460X Pro Router</t>
        </is>
      </c>
      <c r="C34" s="43" t="inlineStr">
        <is>
          <t>PR460X</t>
        </is>
      </c>
      <c r="D34" s="43" t="inlineStr">
        <is>
          <t>NETGEAR AV / Insight Pro</t>
        </is>
      </c>
      <c r="E34" s="43" t="inlineStr">
        <is>
          <t>Router</t>
        </is>
      </c>
      <c r="F34" s="43" t="inlineStr">
        <is>
          <t>Gateway / Router</t>
        </is>
      </c>
      <c r="G34" s="51" t="inlineStr">
        <is>
          <t>Insight (cloud) OR Engage - not both; Domotz</t>
        </is>
      </c>
      <c r="H34" s="43" t="inlineStr">
        <is>
          <t>Active</t>
        </is>
      </c>
      <c r="I34" s="44" t="n"/>
      <c r="J34" s="45" t="n"/>
      <c r="K34" s="45" t="n"/>
      <c r="L34" s="43" t="inlineStr">
        <is>
          <t>1U rack (reversible ears)</t>
        </is>
      </c>
      <c r="M34" s="43" t="n">
        <v>1</v>
      </c>
      <c r="N34" s="43" t="inlineStr">
        <is>
          <t>Full width</t>
        </is>
      </c>
      <c r="O34" s="43" t="n">
        <v>440</v>
      </c>
      <c r="P34" s="43" t="n">
        <v>100</v>
      </c>
      <c r="Q34" s="43" t="n">
        <v>43.2</v>
      </c>
      <c r="R34" s="46" t="n">
        <v>1.513</v>
      </c>
      <c r="S34" s="43" t="n">
        <v>0</v>
      </c>
      <c r="T34" s="43" t="n">
        <v>4</v>
      </c>
      <c r="U34" s="43" t="n">
        <v>1</v>
      </c>
      <c r="V34" s="43" t="n">
        <v>0</v>
      </c>
      <c r="W34" s="43" t="n">
        <v>0</v>
      </c>
      <c r="X34" s="43" t="n">
        <v>1</v>
      </c>
      <c r="Y34" s="43" t="n">
        <v>0</v>
      </c>
      <c r="Z34" s="43" t="n">
        <v>0</v>
      </c>
      <c r="AA34" s="43" t="n">
        <v>0</v>
      </c>
      <c r="AB34" s="43" t="n">
        <v>0</v>
      </c>
      <c r="AC34" s="43" t="n">
        <v>0</v>
      </c>
      <c r="AD34" s="43" t="n">
        <v>0</v>
      </c>
      <c r="AE34" s="43" t="n">
        <v>0</v>
      </c>
      <c r="AF34" s="47">
        <f>SUM(S34:AE34)</f>
        <v/>
      </c>
      <c r="AG34" s="43" t="n"/>
      <c r="AH34" s="51" t="inlineStr">
        <is>
          <t>1x 10G multi-gig (WAN/LAN configurable), 1x 2.5G WAN, 3x 2.5G LAN, 1x 10G SFP+ LAN</t>
        </is>
      </c>
      <c r="AI34" s="43" t="n">
        <v>0</v>
      </c>
      <c r="AJ34" s="43" t="inlineStr">
        <is>
          <t>None</t>
        </is>
      </c>
      <c r="AK34" s="43" t="n"/>
      <c r="AL34" s="48" t="n"/>
      <c r="AM34" s="48" t="n"/>
      <c r="AN34" s="43" t="n"/>
      <c r="AO34" s="49">
        <f>IFERROR(AM34/AI34,"")</f>
        <v/>
      </c>
      <c r="AP34" s="43" t="n"/>
      <c r="AQ34" s="43" t="n"/>
      <c r="AR34" s="43" t="n"/>
      <c r="AS34" s="43" t="inlineStr">
        <is>
          <t>Internal AC 100-240V, 1.3A</t>
        </is>
      </c>
      <c r="AT34" s="43" t="n"/>
      <c r="AU34" s="43" t="n">
        <v>1</v>
      </c>
      <c r="AV34" s="43" t="n">
        <v>0</v>
      </c>
      <c r="AW34" s="43" t="inlineStr">
        <is>
          <t>None (fixed)</t>
        </is>
      </c>
      <c r="AX34" s="43" t="n"/>
      <c r="AY34" s="43" t="n"/>
      <c r="AZ34" s="43" t="n"/>
      <c r="BA34" s="50">
        <f>IF(MAX(AY34,AZ34)=0,"",ROUND(MAX(AY34,AZ34)*3.412,0))</f>
        <v/>
      </c>
      <c r="BB34" s="48" t="n"/>
      <c r="BC34" s="46" t="n"/>
      <c r="BD34" s="43" t="n"/>
      <c r="BE34" s="43" t="n"/>
      <c r="BF34" s="43" t="n"/>
      <c r="BG34" s="48" t="n"/>
      <c r="BH34" s="43" t="n">
        <v>32</v>
      </c>
      <c r="BI34" s="43" t="n"/>
      <c r="BJ34" s="43" t="n"/>
      <c r="BK34" s="51" t="inlineStr">
        <is>
          <t>NAT router; static, RIPv1/v2; 32 DHCP servers</t>
        </is>
      </c>
      <c r="BL34" s="43" t="inlineStr">
        <is>
          <t>No</t>
        </is>
      </c>
      <c r="BM34" s="43" t="n"/>
      <c r="BN34" s="43" t="inlineStr">
        <is>
          <t>No</t>
        </is>
      </c>
      <c r="BO34" s="43" t="n"/>
      <c r="BP34" s="43" t="inlineStr">
        <is>
          <t>No</t>
        </is>
      </c>
      <c r="BQ34" s="43" t="n"/>
      <c r="BR34" s="43" t="inlineStr">
        <is>
          <t>Yes (Engage v2)</t>
        </is>
      </c>
      <c r="BS34" s="43" t="inlineStr">
        <is>
          <t>Yes</t>
        </is>
      </c>
      <c r="BT34" s="43" t="n">
        <v>40</v>
      </c>
      <c r="BU34" s="43" t="n"/>
      <c r="BV34" s="43" t="n"/>
      <c r="BW34" s="43" t="n"/>
      <c r="BX34" s="48" t="n"/>
      <c r="BY34" s="43" t="inlineStr">
        <is>
          <t>Enterprise Limited Lifetime HW</t>
        </is>
      </c>
      <c r="BZ34" s="51" t="inlineStr">
        <is>
          <t>Sprint / Overdrive (SKUs not in datasheet)</t>
        </is>
      </c>
      <c r="CA34" s="43" t="inlineStr">
        <is>
          <t>Not listed</t>
        </is>
      </c>
      <c r="CB34" s="43" t="inlineStr">
        <is>
          <t>4-yr Insight subscription</t>
        </is>
      </c>
      <c r="CC34" s="43" t="inlineStr">
        <is>
          <t>2 (dual WAN failover / load balancing)</t>
        </is>
      </c>
      <c r="CD34" s="43" t="inlineStr">
        <is>
          <t>2.4 Gbps (2.5G WAN) / 9.4 Gbps (10G WAN)</t>
        </is>
      </c>
      <c r="CE34" s="51" t="inlineStr">
        <is>
          <t>IPSec S2S 30 tunnels; IPSec/OpenVPN/WireGuard client 100 each; S2S 4.42/8.92 Gbps, client 500 Mbps</t>
        </is>
      </c>
      <c r="CF34" s="43" t="n">
        <v>2000</v>
      </c>
      <c r="CG34" s="43" t="n"/>
      <c r="CH34" s="43" t="n"/>
      <c r="CI34" s="43" t="n"/>
      <c r="CJ34" s="43" t="n"/>
      <c r="CK34" s="43" t="inlineStr">
        <is>
          <t>PR460X datasheet NG_DS_AV_PR460X-042926</t>
        </is>
      </c>
      <c r="CL34" s="43" t="inlineStr">
        <is>
          <t>2026-09-27</t>
        </is>
      </c>
      <c r="CM34" s="51" t="inlineStr">
        <is>
          <t>Concurrent connections: 60,000 (spec table) vs 250,000 (features table) - verify. Optional Exium security license (SEC-PR460X-xx), Insight path only.</t>
        </is>
      </c>
    </row>
    <row r="35" ht="46.25" customHeight="1" s="29">
      <c r="A35" s="43" t="inlineStr">
        <is>
          <t>WBE718</t>
        </is>
      </c>
      <c r="B35" s="43" t="inlineStr">
        <is>
          <t>WBE718 WiFi 7 AP</t>
        </is>
      </c>
      <c r="C35" s="43" t="inlineStr">
        <is>
          <t>WBE7xx</t>
        </is>
      </c>
      <c r="D35" s="43" t="inlineStr">
        <is>
          <t>Insight Pro WiFi</t>
        </is>
      </c>
      <c r="E35" s="43" t="inlineStr">
        <is>
          <t>Access Point</t>
        </is>
      </c>
      <c r="F35" s="43" t="inlineStr">
        <is>
          <t>Wireless AP (indoor)</t>
        </is>
      </c>
      <c r="G35" s="43" t="inlineStr">
        <is>
          <t>Insight (cloud / app)</t>
        </is>
      </c>
      <c r="H35" s="43" t="inlineStr">
        <is>
          <t>Active</t>
        </is>
      </c>
      <c r="I35" s="44" t="n"/>
      <c r="J35" s="45" t="n"/>
      <c r="K35" s="45" t="n"/>
      <c r="L35" s="43" t="inlineStr">
        <is>
          <t>Wall / ceiling</t>
        </is>
      </c>
      <c r="M35" s="43" t="n"/>
      <c r="N35" s="43" t="inlineStr">
        <is>
          <t>Ceiling/Wall</t>
        </is>
      </c>
      <c r="O35" s="43" t="n">
        <v>157</v>
      </c>
      <c r="P35" s="43" t="n">
        <v>157</v>
      </c>
      <c r="Q35" s="43" t="n">
        <v>40</v>
      </c>
      <c r="R35" s="46" t="n">
        <v>0.6899999999999999</v>
      </c>
      <c r="S35" s="43" t="n">
        <v>0</v>
      </c>
      <c r="T35" s="43" t="n">
        <v>1</v>
      </c>
      <c r="U35" s="43" t="n">
        <v>0</v>
      </c>
      <c r="V35" s="43" t="n">
        <v>0</v>
      </c>
      <c r="W35" s="43" t="n">
        <v>0</v>
      </c>
      <c r="X35" s="43" t="n">
        <v>0</v>
      </c>
      <c r="Y35" s="43" t="n">
        <v>0</v>
      </c>
      <c r="Z35" s="43" t="n">
        <v>0</v>
      </c>
      <c r="AA35" s="43" t="n">
        <v>0</v>
      </c>
      <c r="AB35" s="43" t="n">
        <v>0</v>
      </c>
      <c r="AC35" s="43" t="n">
        <v>0</v>
      </c>
      <c r="AD35" s="43" t="n">
        <v>0</v>
      </c>
      <c r="AE35" s="43" t="n">
        <v>0</v>
      </c>
      <c r="AF35" s="47">
        <f>SUM(S35:AE35)</f>
        <v/>
      </c>
      <c r="AG35" s="43" t="n"/>
      <c r="AH35" s="43" t="inlineStr">
        <is>
          <t>1x 2.5G PoE PD uplink</t>
        </is>
      </c>
      <c r="AI35" s="43" t="n">
        <v>0</v>
      </c>
      <c r="AJ35" s="43" t="inlineStr">
        <is>
          <t>PD</t>
        </is>
      </c>
      <c r="AK35" s="43" t="n"/>
      <c r="AL35" s="48" t="n"/>
      <c r="AM35" s="48" t="n"/>
      <c r="AN35" s="43" t="n"/>
      <c r="AO35" s="49">
        <f>IFERROR(AM35/AI35,"")</f>
        <v/>
      </c>
      <c r="AP35" s="43" t="n">
        <v>25</v>
      </c>
      <c r="AQ35" s="51" t="inlineStr">
        <is>
          <t>802.3at (af = reduced: -50% 2.4G, -25% 5G, no 6G)</t>
        </is>
      </c>
      <c r="AR35" s="43" t="inlineStr">
        <is>
          <t>2.5G</t>
        </is>
      </c>
      <c r="AS35" s="43" t="inlineStr">
        <is>
          <t>PoE or 12V/2.5A adapter (not incl.)</t>
        </is>
      </c>
      <c r="AT35" s="43" t="n"/>
      <c r="AU35" s="43" t="n"/>
      <c r="AV35" s="43" t="n">
        <v>0</v>
      </c>
      <c r="AW35" s="43" t="inlineStr">
        <is>
          <t>None</t>
        </is>
      </c>
      <c r="AX35" s="43" t="n"/>
      <c r="AY35" s="43" t="n"/>
      <c r="AZ35" s="43" t="n"/>
      <c r="BA35" s="50">
        <f>IF(MAX(AY35,AZ35)=0,"",ROUND(MAX(AY35,AZ35)*3.412,0))</f>
        <v/>
      </c>
      <c r="BB35" s="48" t="n"/>
      <c r="BC35" s="46" t="n"/>
      <c r="BD35" s="43" t="n"/>
      <c r="BE35" s="43" t="n"/>
      <c r="BF35" s="43" t="n"/>
      <c r="BG35" s="48" t="n"/>
      <c r="BH35" s="43" t="n"/>
      <c r="BI35" s="43" t="n"/>
      <c r="BJ35" s="43" t="n"/>
      <c r="BK35" s="43" t="n"/>
      <c r="BL35" s="43" t="n"/>
      <c r="BM35" s="43" t="n"/>
      <c r="BN35" s="43" t="n"/>
      <c r="BO35" s="43" t="n"/>
      <c r="BP35" s="43" t="n"/>
      <c r="BQ35" s="43" t="n"/>
      <c r="BR35" s="43" t="inlineStr">
        <is>
          <t>Yes (select APs, Engage v2)</t>
        </is>
      </c>
      <c r="BS35" s="43" t="inlineStr">
        <is>
          <t>Yes</t>
        </is>
      </c>
      <c r="BT35" s="43" t="n">
        <v>40</v>
      </c>
      <c r="BU35" s="43" t="n"/>
      <c r="BV35" s="43" t="n"/>
      <c r="BW35" s="43" t="n"/>
      <c r="BX35" s="48" t="n"/>
      <c r="BY35" s="43" t="inlineStr">
        <is>
          <t>Enterprise Limited Lifetime HW</t>
        </is>
      </c>
      <c r="BZ35" s="43" t="inlineStr">
        <is>
          <t>SPR-/DRV-WBE718</t>
        </is>
      </c>
      <c r="CA35" s="43" t="inlineStr">
        <is>
          <t>Not listed</t>
        </is>
      </c>
      <c r="CB35" s="43" t="inlineStr">
        <is>
          <t>4-yr Insight subscription</t>
        </is>
      </c>
      <c r="CC35" s="43" t="n"/>
      <c r="CD35" s="43" t="n"/>
      <c r="CE35" s="43" t="n"/>
      <c r="CF35" s="43" t="n"/>
      <c r="CG35" s="43" t="inlineStr">
        <is>
          <t>WiFi 7 (802.11be) tri-band</t>
        </is>
      </c>
      <c r="CH35" s="43" t="inlineStr">
        <is>
          <t>2x2 per band (6 streams)</t>
        </is>
      </c>
      <c r="CI35" s="43" t="n">
        <v>9.4</v>
      </c>
      <c r="CJ35" s="43" t="n">
        <v>8</v>
      </c>
      <c r="CK35" s="43" t="inlineStr">
        <is>
          <t>WBE718 datasheet DS-WBE718_02Apr26</t>
        </is>
      </c>
      <c r="CL35" s="43" t="inlineStr">
        <is>
          <t>2026-09-27</t>
        </is>
      </c>
      <c r="CM35" s="51" t="inlineStr">
        <is>
          <t>Weight shown as 0.69 kg (2.09 lb) - lb value inconsistent, verify. Engage support per PR460X datasheet ('select APs') - confirm model list.</t>
        </is>
      </c>
    </row>
    <row r="36" ht="46.25" customHeight="1" s="29">
      <c r="A36" s="43" t="inlineStr">
        <is>
          <t>WBE758</t>
        </is>
      </c>
      <c r="B36" s="43" t="inlineStr">
        <is>
          <t>WBE758 WiFi 7 AP</t>
        </is>
      </c>
      <c r="C36" s="43" t="inlineStr">
        <is>
          <t>WBE7xx</t>
        </is>
      </c>
      <c r="D36" s="43" t="inlineStr">
        <is>
          <t>Insight Pro WiFi</t>
        </is>
      </c>
      <c r="E36" s="43" t="inlineStr">
        <is>
          <t>Access Point</t>
        </is>
      </c>
      <c r="F36" s="43" t="inlineStr">
        <is>
          <t>Wireless AP (indoor)</t>
        </is>
      </c>
      <c r="G36" s="43" t="inlineStr">
        <is>
          <t>Insight (cloud / app)</t>
        </is>
      </c>
      <c r="H36" s="43" t="inlineStr">
        <is>
          <t>Active</t>
        </is>
      </c>
      <c r="I36" s="44" t="n"/>
      <c r="J36" s="45" t="n"/>
      <c r="K36" s="45" t="n"/>
      <c r="L36" s="43" t="inlineStr">
        <is>
          <t>Wall / ceiling</t>
        </is>
      </c>
      <c r="M36" s="43" t="n"/>
      <c r="N36" s="43" t="inlineStr">
        <is>
          <t>Ceiling/Wall</t>
        </is>
      </c>
      <c r="O36" s="43" t="n">
        <v>172</v>
      </c>
      <c r="P36" s="43" t="n">
        <v>172</v>
      </c>
      <c r="Q36" s="43" t="n">
        <v>44</v>
      </c>
      <c r="R36" s="46" t="n">
        <v>0.95</v>
      </c>
      <c r="S36" s="43" t="n">
        <v>0</v>
      </c>
      <c r="T36" s="43" t="n">
        <v>0</v>
      </c>
      <c r="U36" s="43" t="n">
        <v>1</v>
      </c>
      <c r="V36" s="43" t="n">
        <v>0</v>
      </c>
      <c r="W36" s="43" t="n">
        <v>0</v>
      </c>
      <c r="X36" s="43" t="n">
        <v>0</v>
      </c>
      <c r="Y36" s="43" t="n">
        <v>0</v>
      </c>
      <c r="Z36" s="43" t="n">
        <v>0</v>
      </c>
      <c r="AA36" s="43" t="n">
        <v>0</v>
      </c>
      <c r="AB36" s="43" t="n">
        <v>0</v>
      </c>
      <c r="AC36" s="43" t="n">
        <v>0</v>
      </c>
      <c r="AD36" s="43" t="n">
        <v>0</v>
      </c>
      <c r="AE36" s="43" t="n">
        <v>0</v>
      </c>
      <c r="AF36" s="47">
        <f>SUM(S36:AE36)</f>
        <v/>
      </c>
      <c r="AG36" s="43" t="n"/>
      <c r="AH36" s="43" t="inlineStr">
        <is>
          <t>1x 10G PoE++ PD uplink</t>
        </is>
      </c>
      <c r="AI36" s="43" t="n">
        <v>0</v>
      </c>
      <c r="AJ36" s="43" t="inlineStr">
        <is>
          <t>PD</t>
        </is>
      </c>
      <c r="AK36" s="43" t="n"/>
      <c r="AL36" s="48" t="n"/>
      <c r="AM36" s="48" t="n"/>
      <c r="AN36" s="43" t="n"/>
      <c r="AO36" s="49">
        <f>IFERROR(AM36/AI36,"")</f>
        <v/>
      </c>
      <c r="AP36" s="43" t="n">
        <v>39</v>
      </c>
      <c r="AQ36" s="51" t="inlineStr">
        <is>
          <t>802.3bt (at = reduced: -50% 2.4G, -25% 5G/6G; af not supported)</t>
        </is>
      </c>
      <c r="AR36" s="43" t="inlineStr">
        <is>
          <t>10G</t>
        </is>
      </c>
      <c r="AS36" s="43" t="inlineStr">
        <is>
          <t>PoE or 12V/3.5A adapter (not incl.)</t>
        </is>
      </c>
      <c r="AT36" s="43" t="n"/>
      <c r="AU36" s="43" t="n"/>
      <c r="AV36" s="43" t="n">
        <v>0</v>
      </c>
      <c r="AW36" s="43" t="inlineStr">
        <is>
          <t>None</t>
        </is>
      </c>
      <c r="AX36" s="43" t="n"/>
      <c r="AY36" s="43" t="n"/>
      <c r="AZ36" s="43" t="n"/>
      <c r="BA36" s="50">
        <f>IF(MAX(AY36,AZ36)=0,"",ROUND(MAX(AY36,AZ36)*3.412,0))</f>
        <v/>
      </c>
      <c r="BB36" s="48" t="n"/>
      <c r="BC36" s="46" t="n"/>
      <c r="BD36" s="43" t="n"/>
      <c r="BE36" s="43" t="n"/>
      <c r="BF36" s="43" t="n"/>
      <c r="BG36" s="48" t="n"/>
      <c r="BH36" s="43" t="n"/>
      <c r="BI36" s="43" t="n"/>
      <c r="BJ36" s="43" t="n"/>
      <c r="BK36" s="43" t="n"/>
      <c r="BL36" s="43" t="n"/>
      <c r="BM36" s="43" t="n"/>
      <c r="BN36" s="43" t="n"/>
      <c r="BO36" s="43" t="n"/>
      <c r="BP36" s="43" t="n"/>
      <c r="BQ36" s="43" t="n"/>
      <c r="BR36" s="43" t="inlineStr">
        <is>
          <t>Yes (select APs, Engage v2)</t>
        </is>
      </c>
      <c r="BS36" s="43" t="inlineStr">
        <is>
          <t>Yes</t>
        </is>
      </c>
      <c r="BT36" s="43" t="n">
        <v>40</v>
      </c>
      <c r="BU36" s="43" t="n"/>
      <c r="BV36" s="43" t="n"/>
      <c r="BW36" s="43" t="n"/>
      <c r="BX36" s="48" t="n"/>
      <c r="BY36" s="43" t="inlineStr">
        <is>
          <t>Enterprise Limited Lifetime HW</t>
        </is>
      </c>
      <c r="BZ36" s="43" t="inlineStr">
        <is>
          <t>SPR-/DRV-WBE758</t>
        </is>
      </c>
      <c r="CA36" s="43" t="inlineStr">
        <is>
          <t>Not listed</t>
        </is>
      </c>
      <c r="CB36" s="43" t="inlineStr">
        <is>
          <t>4-yr Insight subscription</t>
        </is>
      </c>
      <c r="CC36" s="43" t="n"/>
      <c r="CD36" s="43" t="n"/>
      <c r="CE36" s="43" t="n"/>
      <c r="CF36" s="43" t="n"/>
      <c r="CG36" s="43" t="inlineStr">
        <is>
          <t>WiFi 7 (802.11be) tri-band</t>
        </is>
      </c>
      <c r="CH36" s="43" t="inlineStr">
        <is>
          <t>4x4 per band (12 streams)</t>
        </is>
      </c>
      <c r="CI36" s="43" t="n">
        <v>18.4</v>
      </c>
      <c r="CJ36" s="43" t="n">
        <v>8</v>
      </c>
      <c r="CK36" s="43" t="inlineStr">
        <is>
          <t>WBE758 datasheet D-WBE758_29Jan24</t>
        </is>
      </c>
      <c r="CL36" s="43" t="inlineStr">
        <is>
          <t>2026-09-27</t>
        </is>
      </c>
      <c r="CM36" s="51" t="inlineStr">
        <is>
          <t>Datasheet intro says 7.8 Gbps, spec table 18.4 Gbps - verify. 2.4GHz listed as 802.11b/g/n/ax (no be).</t>
        </is>
      </c>
    </row>
  </sheetData>
  <mergeCells count="2">
    <mergeCell ref="A2:CM2"/>
    <mergeCell ref="A1:CM1"/>
  </mergeCells>
  <dataValidations count="8">
    <dataValidation sqref="E5:E1000" showDropDown="0" showInputMessage="0" showErrorMessage="0" allowBlank="1" type="list" errorStyle="stop" operator="between">
      <formula1>Lists!$A$5:$A$9</formula1>
      <formula2>0</formula2>
    </dataValidation>
    <dataValidation sqref="F5:F1000" showDropDown="0" showInputMessage="0" showErrorMessage="0" allowBlank="1" type="list" errorStyle="stop" operator="between">
      <formula1>Lists!$B$5:$B$10</formula1>
      <formula2>0</formula2>
    </dataValidation>
    <dataValidation sqref="H5:H1000" showDropDown="0" showInputMessage="0" showErrorMessage="0" allowBlank="1" type="list" errorStyle="stop" operator="between">
      <formula1>Lists!$C$5:$C$8</formula1>
      <formula2>0</formula2>
    </dataValidation>
    <dataValidation sqref="L5:L1000" showDropDown="0" showInputMessage="0" showErrorMessage="0" allowBlank="1" type="list" errorStyle="stop" operator="between">
      <formula1>Lists!$D$5:$D$10</formula1>
      <formula2>0</formula2>
    </dataValidation>
    <dataValidation sqref="N5:N1000" showDropDown="0" showInputMessage="0" showErrorMessage="0" allowBlank="1" type="list" errorStyle="stop" operator="between">
      <formula1>Lists!$E$5:$E$8</formula1>
      <formula2>0</formula2>
    </dataValidation>
    <dataValidation sqref="AJ5:AJ1000" showDropDown="0" showInputMessage="0" showErrorMessage="0" allowBlank="1" type="list" errorStyle="stop" operator="between">
      <formula1>Lists!$F$5:$F$9</formula1>
      <formula2>0</formula2>
    </dataValidation>
    <dataValidation sqref="BP5:BP1000" showDropDown="0" showInputMessage="0" showErrorMessage="0" allowBlank="1" type="list" errorStyle="stop" operator="between">
      <formula1>Lists!$G$5:$G$6</formula1>
      <formula2>0</formula2>
    </dataValidation>
    <dataValidation sqref="BQ5:BQ1000" showDropDown="0" showInputMessage="0" showErrorMessage="0" allowBlank="1" type="list" errorStyle="stop" operator="between">
      <formula1>Lists!$G$5:$G$6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22" customWidth="1" style="28" min="2" max="3"/>
    <col width="26" customWidth="1" style="28" min="4" max="4"/>
    <col width="18" customWidth="1" style="28" min="5" max="5"/>
    <col width="10" customWidth="1" style="28" min="6" max="6"/>
    <col width="30" customWidth="1" style="28" min="7" max="7"/>
  </cols>
  <sheetData>
    <row r="1" ht="30" customHeight="1" s="29">
      <c r="A1" s="30" t="inlineStr">
        <is>
          <t>Orderable SKUs by Region</t>
        </is>
      </c>
    </row>
    <row r="2" ht="15" customHeight="1" s="29">
      <c r="A2" s="31" t="inlineStr">
        <is>
          <t>Product_ID links to Products. Add every orderable variant here (regional, TAA, bundles).</t>
        </is>
      </c>
    </row>
    <row r="4" ht="31.5" customHeight="1" s="29">
      <c r="A4" s="42" t="inlineStr">
        <is>
          <t>Product_ID</t>
        </is>
      </c>
      <c r="B4" s="42" t="inlineStr">
        <is>
          <t>Model_Name</t>
        </is>
      </c>
      <c r="C4" s="42" t="inlineStr">
        <is>
          <t>Orderable_SKU</t>
        </is>
      </c>
      <c r="D4" s="42" t="inlineStr">
        <is>
          <t>Region</t>
        </is>
      </c>
      <c r="E4" s="42" t="inlineStr">
        <is>
          <t>Power_Cord</t>
        </is>
      </c>
      <c r="F4" s="42" t="inlineStr">
        <is>
          <t>TAA_Compliant</t>
        </is>
      </c>
      <c r="G4" s="42" t="inlineStr">
        <is>
          <t>Notes</t>
        </is>
      </c>
    </row>
    <row r="5" ht="15" customHeight="1" s="29">
      <c r="A5" s="43" t="inlineStr">
        <is>
          <t>GSM4210PD</t>
        </is>
      </c>
      <c r="B5" s="43" t="inlineStr">
        <is>
          <t>M4250-9G1F-PoE+</t>
        </is>
      </c>
      <c r="C5" s="43" t="inlineStr">
        <is>
          <t>GSM4210PD-100NAS</t>
        </is>
      </c>
      <c r="D5" s="43" t="inlineStr">
        <is>
          <t>Americas</t>
        </is>
      </c>
      <c r="E5" s="43" t="inlineStr">
        <is>
          <t>Region cord</t>
        </is>
      </c>
      <c r="F5" s="43" t="inlineStr">
        <is>
          <t>No</t>
        </is>
      </c>
      <c r="G5" s="43" t="n"/>
    </row>
    <row r="6" ht="15" customHeight="1" s="29">
      <c r="A6" s="43" t="inlineStr">
        <is>
          <t>GSM4210PD</t>
        </is>
      </c>
      <c r="B6" s="43" t="inlineStr">
        <is>
          <t>M4250-9G1F-PoE+</t>
        </is>
      </c>
      <c r="C6" s="43" t="inlineStr">
        <is>
          <t>GSM4210PD-100EUS</t>
        </is>
      </c>
      <c r="D6" s="43" t="inlineStr">
        <is>
          <t>Europe</t>
        </is>
      </c>
      <c r="E6" s="43" t="inlineStr">
        <is>
          <t>Region cord</t>
        </is>
      </c>
      <c r="F6" s="43" t="inlineStr">
        <is>
          <t>No</t>
        </is>
      </c>
      <c r="G6" s="43" t="n"/>
    </row>
    <row r="7" ht="15" customHeight="1" s="29">
      <c r="A7" s="43" t="inlineStr">
        <is>
          <t>GSM4210PD</t>
        </is>
      </c>
      <c r="B7" s="43" t="inlineStr">
        <is>
          <t>M4250-9G1F-PoE+</t>
        </is>
      </c>
      <c r="C7" s="43" t="inlineStr">
        <is>
          <t>GSM4210PD-100INS</t>
        </is>
      </c>
      <c r="D7" s="43" t="inlineStr">
        <is>
          <t>India</t>
        </is>
      </c>
      <c r="E7" s="43" t="inlineStr">
        <is>
          <t>Region cord</t>
        </is>
      </c>
      <c r="F7" s="43" t="inlineStr">
        <is>
          <t>No</t>
        </is>
      </c>
      <c r="G7" s="43" t="n"/>
    </row>
    <row r="8" ht="15" customHeight="1" s="29">
      <c r="A8" s="43" t="inlineStr">
        <is>
          <t>GSM4210PD</t>
        </is>
      </c>
      <c r="B8" s="43" t="inlineStr">
        <is>
          <t>M4250-9G1F-PoE+</t>
        </is>
      </c>
      <c r="C8" s="43" t="inlineStr">
        <is>
          <t>GSM4210PD-100JPS</t>
        </is>
      </c>
      <c r="D8" s="43" t="inlineStr">
        <is>
          <t>Japan</t>
        </is>
      </c>
      <c r="E8" s="43" t="inlineStr">
        <is>
          <t>Region cord</t>
        </is>
      </c>
      <c r="F8" s="43" t="inlineStr">
        <is>
          <t>No</t>
        </is>
      </c>
      <c r="G8" s="43" t="n"/>
    </row>
    <row r="9" ht="15" customHeight="1" s="29">
      <c r="A9" s="43" t="inlineStr">
        <is>
          <t>GSM4210PD</t>
        </is>
      </c>
      <c r="B9" s="43" t="inlineStr">
        <is>
          <t>M4250-9G1F-PoE+</t>
        </is>
      </c>
      <c r="C9" s="43" t="inlineStr">
        <is>
          <t>GSM4210PD-100KOS</t>
        </is>
      </c>
      <c r="D9" s="43" t="inlineStr">
        <is>
          <t>South Korea</t>
        </is>
      </c>
      <c r="E9" s="43" t="inlineStr">
        <is>
          <t>Region cord</t>
        </is>
      </c>
      <c r="F9" s="43" t="inlineStr">
        <is>
          <t>No</t>
        </is>
      </c>
      <c r="G9" s="43" t="n"/>
    </row>
    <row r="10" ht="15" customHeight="1" s="29">
      <c r="A10" s="43" t="inlineStr">
        <is>
          <t>GSM4210PD</t>
        </is>
      </c>
      <c r="B10" s="43" t="inlineStr">
        <is>
          <t>M4250-9G1F-PoE+</t>
        </is>
      </c>
      <c r="C10" s="43" t="inlineStr">
        <is>
          <t>GSM4210PD-100TWS</t>
        </is>
      </c>
      <c r="D10" s="43" t="inlineStr">
        <is>
          <t>Taiwan</t>
        </is>
      </c>
      <c r="E10" s="43" t="inlineStr">
        <is>
          <t>Region cord</t>
        </is>
      </c>
      <c r="F10" s="43" t="inlineStr">
        <is>
          <t>No</t>
        </is>
      </c>
      <c r="G10" s="43" t="n"/>
    </row>
    <row r="11" ht="15" customHeight="1" s="29">
      <c r="A11" s="43" t="inlineStr">
        <is>
          <t>GSM4210PD</t>
        </is>
      </c>
      <c r="B11" s="43" t="inlineStr">
        <is>
          <t>M4250-9G1F-PoE+</t>
        </is>
      </c>
      <c r="C11" s="43" t="inlineStr">
        <is>
          <t>GSM4210PD-100UKS</t>
        </is>
      </c>
      <c r="D11" s="43" t="inlineStr">
        <is>
          <t>Hong Kong</t>
        </is>
      </c>
      <c r="E11" s="43" t="inlineStr">
        <is>
          <t>Region cord</t>
        </is>
      </c>
      <c r="F11" s="43" t="inlineStr">
        <is>
          <t>No</t>
        </is>
      </c>
      <c r="G11" s="43" t="n"/>
    </row>
    <row r="12" ht="15" customHeight="1" s="29">
      <c r="A12" s="43" t="inlineStr">
        <is>
          <t>GSM4210PD</t>
        </is>
      </c>
      <c r="B12" s="43" t="inlineStr">
        <is>
          <t>M4250-9G1F-PoE+</t>
        </is>
      </c>
      <c r="C12" s="43" t="inlineStr">
        <is>
          <t>GSM4210PD-100AUS</t>
        </is>
      </c>
      <c r="D12" s="43" t="inlineStr">
        <is>
          <t>Australia</t>
        </is>
      </c>
      <c r="E12" s="43" t="inlineStr">
        <is>
          <t>Region cord</t>
        </is>
      </c>
      <c r="F12" s="43" t="inlineStr">
        <is>
          <t>No</t>
        </is>
      </c>
      <c r="G12" s="43" t="n"/>
    </row>
    <row r="13" ht="15" customHeight="1" s="29">
      <c r="A13" s="43" t="inlineStr">
        <is>
          <t>GSM4210PD</t>
        </is>
      </c>
      <c r="B13" s="43" t="inlineStr">
        <is>
          <t>M4250-9G1F-PoE+</t>
        </is>
      </c>
      <c r="C13" s="43" t="inlineStr">
        <is>
          <t>GSM4210PD-100PRS</t>
        </is>
      </c>
      <c r="D13" s="43" t="inlineStr">
        <is>
          <t>China</t>
        </is>
      </c>
      <c r="E13" s="43" t="inlineStr">
        <is>
          <t>Region cord</t>
        </is>
      </c>
      <c r="F13" s="43" t="inlineStr">
        <is>
          <t>No</t>
        </is>
      </c>
      <c r="G13" s="43" t="n"/>
    </row>
    <row r="14" ht="15" customHeight="1" s="29">
      <c r="A14" s="43" t="inlineStr">
        <is>
          <t>GSM4210PD</t>
        </is>
      </c>
      <c r="B14" s="43" t="inlineStr">
        <is>
          <t>M4250-9G1F-PoE+</t>
        </is>
      </c>
      <c r="C14" s="43" t="inlineStr">
        <is>
          <t>GSM4210PD-100PES</t>
        </is>
      </c>
      <c r="D14" s="43" t="inlineStr">
        <is>
          <t>Other APAC</t>
        </is>
      </c>
      <c r="E14" s="43" t="inlineStr">
        <is>
          <t>Region cord</t>
        </is>
      </c>
      <c r="F14" s="43" t="inlineStr">
        <is>
          <t>No</t>
        </is>
      </c>
      <c r="G14" s="43" t="n"/>
    </row>
    <row r="15" ht="15" customHeight="1" s="29">
      <c r="A15" s="43" t="inlineStr">
        <is>
          <t>GSM4210PX</t>
        </is>
      </c>
      <c r="B15" s="43" t="inlineStr">
        <is>
          <t>M4250-8G2XF-PoE+</t>
        </is>
      </c>
      <c r="C15" s="43" t="inlineStr">
        <is>
          <t>GSM4210PX-100NAS</t>
        </is>
      </c>
      <c r="D15" s="43" t="inlineStr">
        <is>
          <t>Americas</t>
        </is>
      </c>
      <c r="E15" s="43" t="inlineStr">
        <is>
          <t>Region cord</t>
        </is>
      </c>
      <c r="F15" s="43" t="inlineStr">
        <is>
          <t>No</t>
        </is>
      </c>
      <c r="G15" s="43" t="n"/>
    </row>
    <row r="16" ht="15" customHeight="1" s="29">
      <c r="A16" s="43" t="inlineStr">
        <is>
          <t>GSM4210PX</t>
        </is>
      </c>
      <c r="B16" s="43" t="inlineStr">
        <is>
          <t>M4250-8G2XF-PoE+</t>
        </is>
      </c>
      <c r="C16" s="43" t="inlineStr">
        <is>
          <t>GSM4210PX-100EUS</t>
        </is>
      </c>
      <c r="D16" s="43" t="inlineStr">
        <is>
          <t>Europe</t>
        </is>
      </c>
      <c r="E16" s="43" t="inlineStr">
        <is>
          <t>Region cord</t>
        </is>
      </c>
      <c r="F16" s="43" t="inlineStr">
        <is>
          <t>No</t>
        </is>
      </c>
      <c r="G16" s="43" t="n"/>
    </row>
    <row r="17" ht="15" customHeight="1" s="29">
      <c r="A17" s="43" t="inlineStr">
        <is>
          <t>GSM4210PX</t>
        </is>
      </c>
      <c r="B17" s="43" t="inlineStr">
        <is>
          <t>M4250-8G2XF-PoE+</t>
        </is>
      </c>
      <c r="C17" s="43" t="inlineStr">
        <is>
          <t>GSM4210PX-100INS</t>
        </is>
      </c>
      <c r="D17" s="43" t="inlineStr">
        <is>
          <t>India</t>
        </is>
      </c>
      <c r="E17" s="43" t="inlineStr">
        <is>
          <t>Region cord</t>
        </is>
      </c>
      <c r="F17" s="43" t="inlineStr">
        <is>
          <t>No</t>
        </is>
      </c>
      <c r="G17" s="43" t="n"/>
    </row>
    <row r="18" ht="15" customHeight="1" s="29">
      <c r="A18" s="43" t="inlineStr">
        <is>
          <t>GSM4210PX</t>
        </is>
      </c>
      <c r="B18" s="43" t="inlineStr">
        <is>
          <t>M4250-8G2XF-PoE+</t>
        </is>
      </c>
      <c r="C18" s="43" t="inlineStr">
        <is>
          <t>GSM4210PX-100JPS</t>
        </is>
      </c>
      <c r="D18" s="43" t="inlineStr">
        <is>
          <t>Japan</t>
        </is>
      </c>
      <c r="E18" s="43" t="inlineStr">
        <is>
          <t>Region cord</t>
        </is>
      </c>
      <c r="F18" s="43" t="inlineStr">
        <is>
          <t>No</t>
        </is>
      </c>
      <c r="G18" s="43" t="n"/>
    </row>
    <row r="19" ht="15" customHeight="1" s="29">
      <c r="A19" s="43" t="inlineStr">
        <is>
          <t>GSM4210PX</t>
        </is>
      </c>
      <c r="B19" s="43" t="inlineStr">
        <is>
          <t>M4250-8G2XF-PoE+</t>
        </is>
      </c>
      <c r="C19" s="43" t="inlineStr">
        <is>
          <t>GSM4210PX-100KOS</t>
        </is>
      </c>
      <c r="D19" s="43" t="inlineStr">
        <is>
          <t>South Korea</t>
        </is>
      </c>
      <c r="E19" s="43" t="inlineStr">
        <is>
          <t>Region cord</t>
        </is>
      </c>
      <c r="F19" s="43" t="inlineStr">
        <is>
          <t>No</t>
        </is>
      </c>
      <c r="G19" s="43" t="n"/>
    </row>
    <row r="20" ht="15" customHeight="1" s="29">
      <c r="A20" s="43" t="inlineStr">
        <is>
          <t>GSM4210PX</t>
        </is>
      </c>
      <c r="B20" s="43" t="inlineStr">
        <is>
          <t>M4250-8G2XF-PoE+</t>
        </is>
      </c>
      <c r="C20" s="43" t="inlineStr">
        <is>
          <t>GSM4210PX-100TWS</t>
        </is>
      </c>
      <c r="D20" s="43" t="inlineStr">
        <is>
          <t>Taiwan</t>
        </is>
      </c>
      <c r="E20" s="43" t="inlineStr">
        <is>
          <t>Region cord</t>
        </is>
      </c>
      <c r="F20" s="43" t="inlineStr">
        <is>
          <t>No</t>
        </is>
      </c>
      <c r="G20" s="43" t="n"/>
    </row>
    <row r="21" ht="15" customHeight="1" s="29">
      <c r="A21" s="43" t="inlineStr">
        <is>
          <t>GSM4210PX</t>
        </is>
      </c>
      <c r="B21" s="43" t="inlineStr">
        <is>
          <t>M4250-8G2XF-PoE+</t>
        </is>
      </c>
      <c r="C21" s="43" t="inlineStr">
        <is>
          <t>GSM4210PX-100UKS</t>
        </is>
      </c>
      <c r="D21" s="43" t="inlineStr">
        <is>
          <t>Hong Kong</t>
        </is>
      </c>
      <c r="E21" s="43" t="inlineStr">
        <is>
          <t>Region cord</t>
        </is>
      </c>
      <c r="F21" s="43" t="inlineStr">
        <is>
          <t>No</t>
        </is>
      </c>
      <c r="G21" s="43" t="n"/>
    </row>
    <row r="22" ht="15" customHeight="1" s="29">
      <c r="A22" s="43" t="inlineStr">
        <is>
          <t>GSM4210PX</t>
        </is>
      </c>
      <c r="B22" s="43" t="inlineStr">
        <is>
          <t>M4250-8G2XF-PoE+</t>
        </is>
      </c>
      <c r="C22" s="43" t="inlineStr">
        <is>
          <t>GSM4210PX-100AUS</t>
        </is>
      </c>
      <c r="D22" s="43" t="inlineStr">
        <is>
          <t>Australia</t>
        </is>
      </c>
      <c r="E22" s="43" t="inlineStr">
        <is>
          <t>Region cord</t>
        </is>
      </c>
      <c r="F22" s="43" t="inlineStr">
        <is>
          <t>No</t>
        </is>
      </c>
      <c r="G22" s="43" t="n"/>
    </row>
    <row r="23" ht="15" customHeight="1" s="29">
      <c r="A23" s="43" t="inlineStr">
        <is>
          <t>GSM4210PX</t>
        </is>
      </c>
      <c r="B23" s="43" t="inlineStr">
        <is>
          <t>M4250-8G2XF-PoE+</t>
        </is>
      </c>
      <c r="C23" s="43" t="inlineStr">
        <is>
          <t>GSM4210PX-100PRS</t>
        </is>
      </c>
      <c r="D23" s="43" t="inlineStr">
        <is>
          <t>China</t>
        </is>
      </c>
      <c r="E23" s="43" t="inlineStr">
        <is>
          <t>Region cord</t>
        </is>
      </c>
      <c r="F23" s="43" t="inlineStr">
        <is>
          <t>No</t>
        </is>
      </c>
      <c r="G23" s="43" t="n"/>
    </row>
    <row r="24" ht="15" customHeight="1" s="29">
      <c r="A24" s="43" t="inlineStr">
        <is>
          <t>GSM4210PX</t>
        </is>
      </c>
      <c r="B24" s="43" t="inlineStr">
        <is>
          <t>M4250-8G2XF-PoE+</t>
        </is>
      </c>
      <c r="C24" s="43" t="inlineStr">
        <is>
          <t>GSM4210PX-100PES</t>
        </is>
      </c>
      <c r="D24" s="43" t="inlineStr">
        <is>
          <t>Other APAC</t>
        </is>
      </c>
      <c r="E24" s="43" t="inlineStr">
        <is>
          <t>Region cord</t>
        </is>
      </c>
      <c r="F24" s="43" t="inlineStr">
        <is>
          <t>No</t>
        </is>
      </c>
      <c r="G24" s="43" t="n"/>
    </row>
    <row r="25" ht="15" customHeight="1" s="29">
      <c r="A25" s="43" t="inlineStr">
        <is>
          <t>GSM4212P</t>
        </is>
      </c>
      <c r="B25" s="43" t="inlineStr">
        <is>
          <t>M4250-10G2F-PoE+</t>
        </is>
      </c>
      <c r="C25" s="43" t="inlineStr">
        <is>
          <t>GSM4212P-100NAS</t>
        </is>
      </c>
      <c r="D25" s="43" t="inlineStr">
        <is>
          <t>Americas</t>
        </is>
      </c>
      <c r="E25" s="43" t="inlineStr">
        <is>
          <t>Region cord</t>
        </is>
      </c>
      <c r="F25" s="43" t="inlineStr">
        <is>
          <t>No</t>
        </is>
      </c>
      <c r="G25" s="43" t="n"/>
    </row>
    <row r="26" ht="15" customHeight="1" s="29">
      <c r="A26" s="43" t="inlineStr">
        <is>
          <t>GSM4212P</t>
        </is>
      </c>
      <c r="B26" s="43" t="inlineStr">
        <is>
          <t>M4250-10G2F-PoE+</t>
        </is>
      </c>
      <c r="C26" s="43" t="inlineStr">
        <is>
          <t>GSM4212P-100EUS</t>
        </is>
      </c>
      <c r="D26" s="43" t="inlineStr">
        <is>
          <t>Europe</t>
        </is>
      </c>
      <c r="E26" s="43" t="inlineStr">
        <is>
          <t>Region cord</t>
        </is>
      </c>
      <c r="F26" s="43" t="inlineStr">
        <is>
          <t>No</t>
        </is>
      </c>
      <c r="G26" s="43" t="n"/>
    </row>
    <row r="27" ht="15" customHeight="1" s="29">
      <c r="A27" s="43" t="inlineStr">
        <is>
          <t>GSM4212P</t>
        </is>
      </c>
      <c r="B27" s="43" t="inlineStr">
        <is>
          <t>M4250-10G2F-PoE+</t>
        </is>
      </c>
      <c r="C27" s="43" t="inlineStr">
        <is>
          <t>GSM4212P-100AJS</t>
        </is>
      </c>
      <c r="D27" s="43" t="inlineStr">
        <is>
          <t>Asia Pacific</t>
        </is>
      </c>
      <c r="E27" s="43" t="inlineStr">
        <is>
          <t>Region cord</t>
        </is>
      </c>
      <c r="F27" s="43" t="inlineStr">
        <is>
          <t>No</t>
        </is>
      </c>
      <c r="G27" s="43" t="n"/>
    </row>
    <row r="28" ht="15" customHeight="1" s="29">
      <c r="A28" s="43" t="inlineStr">
        <is>
          <t>GSM4212P</t>
        </is>
      </c>
      <c r="B28" s="43" t="inlineStr">
        <is>
          <t>M4250-10G2F-PoE+</t>
        </is>
      </c>
      <c r="C28" s="43" t="inlineStr">
        <is>
          <t>GSM4212P-100PRS</t>
        </is>
      </c>
      <c r="D28" s="43" t="inlineStr">
        <is>
          <t>China</t>
        </is>
      </c>
      <c r="E28" s="43" t="inlineStr">
        <is>
          <t>Region cord</t>
        </is>
      </c>
      <c r="F28" s="43" t="inlineStr">
        <is>
          <t>No</t>
        </is>
      </c>
      <c r="G28" s="43" t="n"/>
    </row>
    <row r="29" ht="15" customHeight="1" s="29">
      <c r="A29" s="43" t="inlineStr">
        <is>
          <t>GSM4212PX</t>
        </is>
      </c>
      <c r="B29" s="43" t="inlineStr">
        <is>
          <t>M4250-10G2XF-PoE+</t>
        </is>
      </c>
      <c r="C29" s="43" t="inlineStr">
        <is>
          <t>GSM4212PX-100NAS</t>
        </is>
      </c>
      <c r="D29" s="43" t="inlineStr">
        <is>
          <t>Americas</t>
        </is>
      </c>
      <c r="E29" s="43" t="inlineStr">
        <is>
          <t>Region cord</t>
        </is>
      </c>
      <c r="F29" s="43" t="inlineStr">
        <is>
          <t>No</t>
        </is>
      </c>
      <c r="G29" s="43" t="n"/>
    </row>
    <row r="30" ht="15" customHeight="1" s="29">
      <c r="A30" s="43" t="inlineStr">
        <is>
          <t>GSM4212PX</t>
        </is>
      </c>
      <c r="B30" s="43" t="inlineStr">
        <is>
          <t>M4250-10G2XF-PoE+</t>
        </is>
      </c>
      <c r="C30" s="43" t="inlineStr">
        <is>
          <t>GSM4212PX-100EUS</t>
        </is>
      </c>
      <c r="D30" s="43" t="inlineStr">
        <is>
          <t>Europe</t>
        </is>
      </c>
      <c r="E30" s="43" t="inlineStr">
        <is>
          <t>Region cord</t>
        </is>
      </c>
      <c r="F30" s="43" t="inlineStr">
        <is>
          <t>No</t>
        </is>
      </c>
      <c r="G30" s="43" t="n"/>
    </row>
    <row r="31" ht="15" customHeight="1" s="29">
      <c r="A31" s="43" t="inlineStr">
        <is>
          <t>GSM4212PX</t>
        </is>
      </c>
      <c r="B31" s="43" t="inlineStr">
        <is>
          <t>M4250-10G2XF-PoE+</t>
        </is>
      </c>
      <c r="C31" s="43" t="inlineStr">
        <is>
          <t>GSM4212PX-100AJS</t>
        </is>
      </c>
      <c r="D31" s="43" t="inlineStr">
        <is>
          <t>Asia Pacific</t>
        </is>
      </c>
      <c r="E31" s="43" t="inlineStr">
        <is>
          <t>Region cord</t>
        </is>
      </c>
      <c r="F31" s="43" t="inlineStr">
        <is>
          <t>No</t>
        </is>
      </c>
      <c r="G31" s="43" t="n"/>
    </row>
    <row r="32" ht="15" customHeight="1" s="29">
      <c r="A32" s="43" t="inlineStr">
        <is>
          <t>GSM4212PX</t>
        </is>
      </c>
      <c r="B32" s="43" t="inlineStr">
        <is>
          <t>M4250-10G2XF-PoE+</t>
        </is>
      </c>
      <c r="C32" s="43" t="inlineStr">
        <is>
          <t>GSM4212PX-100PRS</t>
        </is>
      </c>
      <c r="D32" s="43" t="inlineStr">
        <is>
          <t>China</t>
        </is>
      </c>
      <c r="E32" s="43" t="inlineStr">
        <is>
          <t>Region cord</t>
        </is>
      </c>
      <c r="F32" s="43" t="inlineStr">
        <is>
          <t>No</t>
        </is>
      </c>
      <c r="G32" s="43" t="n"/>
    </row>
    <row r="33" ht="15" customHeight="1" s="29">
      <c r="A33" s="43" t="inlineStr">
        <is>
          <t>GSM4212UX</t>
        </is>
      </c>
      <c r="B33" s="43" t="inlineStr">
        <is>
          <t>M4250-10G2XF-PoE++</t>
        </is>
      </c>
      <c r="C33" s="43" t="inlineStr">
        <is>
          <t>GSM4212UX-100NAS</t>
        </is>
      </c>
      <c r="D33" s="43" t="inlineStr">
        <is>
          <t>Americas</t>
        </is>
      </c>
      <c r="E33" s="43" t="inlineStr">
        <is>
          <t>Region cord</t>
        </is>
      </c>
      <c r="F33" s="43" t="inlineStr">
        <is>
          <t>No</t>
        </is>
      </c>
      <c r="G33" s="43" t="n"/>
    </row>
    <row r="34" ht="15" customHeight="1" s="29">
      <c r="A34" s="43" t="inlineStr">
        <is>
          <t>GSM4212UX</t>
        </is>
      </c>
      <c r="B34" s="43" t="inlineStr">
        <is>
          <t>M4250-10G2XF-PoE++</t>
        </is>
      </c>
      <c r="C34" s="43" t="inlineStr">
        <is>
          <t>GSM4212UX-100EUS</t>
        </is>
      </c>
      <c r="D34" s="43" t="inlineStr">
        <is>
          <t>Europe</t>
        </is>
      </c>
      <c r="E34" s="43" t="inlineStr">
        <is>
          <t>Region cord</t>
        </is>
      </c>
      <c r="F34" s="43" t="inlineStr">
        <is>
          <t>No</t>
        </is>
      </c>
      <c r="G34" s="43" t="n"/>
    </row>
    <row r="35" ht="15" customHeight="1" s="29">
      <c r="A35" s="43" t="inlineStr">
        <is>
          <t>GSM4212UX</t>
        </is>
      </c>
      <c r="B35" s="43" t="inlineStr">
        <is>
          <t>M4250-10G2XF-PoE++</t>
        </is>
      </c>
      <c r="C35" s="43" t="inlineStr">
        <is>
          <t>GSM4212UX-100AJS</t>
        </is>
      </c>
      <c r="D35" s="43" t="inlineStr">
        <is>
          <t>Asia Pacific</t>
        </is>
      </c>
      <c r="E35" s="43" t="inlineStr">
        <is>
          <t>Region cord</t>
        </is>
      </c>
      <c r="F35" s="43" t="inlineStr">
        <is>
          <t>No</t>
        </is>
      </c>
      <c r="G35" s="43" t="n"/>
    </row>
    <row r="36" ht="15" customHeight="1" s="29">
      <c r="A36" s="43" t="inlineStr">
        <is>
          <t>GSM4212UX</t>
        </is>
      </c>
      <c r="B36" s="43" t="inlineStr">
        <is>
          <t>M4250-10G2XF-PoE++</t>
        </is>
      </c>
      <c r="C36" s="43" t="inlineStr">
        <is>
          <t>GSM4212UX-100PRS</t>
        </is>
      </c>
      <c r="D36" s="43" t="inlineStr">
        <is>
          <t>China</t>
        </is>
      </c>
      <c r="E36" s="43" t="inlineStr">
        <is>
          <t>Region cord</t>
        </is>
      </c>
      <c r="F36" s="43" t="inlineStr">
        <is>
          <t>No</t>
        </is>
      </c>
      <c r="G36" s="43" t="n"/>
    </row>
    <row r="37" ht="15" customHeight="1" s="29">
      <c r="A37" s="43" t="inlineStr">
        <is>
          <t>GSM4230P</t>
        </is>
      </c>
      <c r="B37" s="43" t="inlineStr">
        <is>
          <t>M4250-26G4F-PoE+</t>
        </is>
      </c>
      <c r="C37" s="43" t="inlineStr">
        <is>
          <t>GSM4230P-100NAS</t>
        </is>
      </c>
      <c r="D37" s="43" t="inlineStr">
        <is>
          <t>Americas</t>
        </is>
      </c>
      <c r="E37" s="43" t="inlineStr">
        <is>
          <t>Region cord</t>
        </is>
      </c>
      <c r="F37" s="43" t="inlineStr">
        <is>
          <t>No</t>
        </is>
      </c>
      <c r="G37" s="43" t="n"/>
    </row>
    <row r="38" ht="15" customHeight="1" s="29">
      <c r="A38" s="43" t="inlineStr">
        <is>
          <t>GSM4230P</t>
        </is>
      </c>
      <c r="B38" s="43" t="inlineStr">
        <is>
          <t>M4250-26G4F-PoE+</t>
        </is>
      </c>
      <c r="C38" s="43" t="inlineStr">
        <is>
          <t>GSM4230P-100EUS</t>
        </is>
      </c>
      <c r="D38" s="43" t="inlineStr">
        <is>
          <t>Europe</t>
        </is>
      </c>
      <c r="E38" s="43" t="inlineStr">
        <is>
          <t>Region cord</t>
        </is>
      </c>
      <c r="F38" s="43" t="inlineStr">
        <is>
          <t>No</t>
        </is>
      </c>
      <c r="G38" s="43" t="n"/>
    </row>
    <row r="39" ht="15" customHeight="1" s="29">
      <c r="A39" s="43" t="inlineStr">
        <is>
          <t>GSM4230P</t>
        </is>
      </c>
      <c r="B39" s="43" t="inlineStr">
        <is>
          <t>M4250-26G4F-PoE+</t>
        </is>
      </c>
      <c r="C39" s="43" t="inlineStr">
        <is>
          <t>GSM4230P-100AJS</t>
        </is>
      </c>
      <c r="D39" s="43" t="inlineStr">
        <is>
          <t>Asia Pacific</t>
        </is>
      </c>
      <c r="E39" s="43" t="inlineStr">
        <is>
          <t>Region cord</t>
        </is>
      </c>
      <c r="F39" s="43" t="inlineStr">
        <is>
          <t>No</t>
        </is>
      </c>
      <c r="G39" s="43" t="n"/>
    </row>
    <row r="40" ht="15" customHeight="1" s="29">
      <c r="A40" s="43" t="inlineStr">
        <is>
          <t>GSM4230P</t>
        </is>
      </c>
      <c r="B40" s="43" t="inlineStr">
        <is>
          <t>M4250-26G4F-PoE+</t>
        </is>
      </c>
      <c r="C40" s="43" t="inlineStr">
        <is>
          <t>GSM4230P-100PRS</t>
        </is>
      </c>
      <c r="D40" s="43" t="inlineStr">
        <is>
          <t>China</t>
        </is>
      </c>
      <c r="E40" s="43" t="inlineStr">
        <is>
          <t>Region cord</t>
        </is>
      </c>
      <c r="F40" s="43" t="inlineStr">
        <is>
          <t>No</t>
        </is>
      </c>
      <c r="G40" s="43" t="n"/>
    </row>
    <row r="41" ht="15" customHeight="1" s="29">
      <c r="A41" s="43" t="inlineStr">
        <is>
          <t>GSM4230UP</t>
        </is>
      </c>
      <c r="B41" s="43" t="inlineStr">
        <is>
          <t>M4250-26G4F-PoE++</t>
        </is>
      </c>
      <c r="C41" s="43" t="inlineStr">
        <is>
          <t>GSM4230UP-100NAS</t>
        </is>
      </c>
      <c r="D41" s="43" t="inlineStr">
        <is>
          <t>Americas</t>
        </is>
      </c>
      <c r="E41" s="43" t="inlineStr">
        <is>
          <t>Region cord</t>
        </is>
      </c>
      <c r="F41" s="43" t="inlineStr">
        <is>
          <t>No</t>
        </is>
      </c>
      <c r="G41" s="43" t="n"/>
    </row>
    <row r="42" ht="15" customHeight="1" s="29">
      <c r="A42" s="43" t="inlineStr">
        <is>
          <t>GSM4230UP</t>
        </is>
      </c>
      <c r="B42" s="43" t="inlineStr">
        <is>
          <t>M4250-26G4F-PoE++</t>
        </is>
      </c>
      <c r="C42" s="43" t="inlineStr">
        <is>
          <t>GSM4230UP-100EUS</t>
        </is>
      </c>
      <c r="D42" s="43" t="inlineStr">
        <is>
          <t>Europe</t>
        </is>
      </c>
      <c r="E42" s="43" t="inlineStr">
        <is>
          <t>Region cord</t>
        </is>
      </c>
      <c r="F42" s="43" t="inlineStr">
        <is>
          <t>No</t>
        </is>
      </c>
      <c r="G42" s="43" t="n"/>
    </row>
    <row r="43" ht="15" customHeight="1" s="29">
      <c r="A43" s="43" t="inlineStr">
        <is>
          <t>GSM4230UP</t>
        </is>
      </c>
      <c r="B43" s="43" t="inlineStr">
        <is>
          <t>M4250-26G4F-PoE++</t>
        </is>
      </c>
      <c r="C43" s="43" t="inlineStr">
        <is>
          <t>GSM4230UP-100AJS</t>
        </is>
      </c>
      <c r="D43" s="43" t="inlineStr">
        <is>
          <t>Asia Pacific</t>
        </is>
      </c>
      <c r="E43" s="43" t="inlineStr">
        <is>
          <t>Region cord</t>
        </is>
      </c>
      <c r="F43" s="43" t="inlineStr">
        <is>
          <t>No</t>
        </is>
      </c>
      <c r="G43" s="43" t="n"/>
    </row>
    <row r="44" ht="15" customHeight="1" s="29">
      <c r="A44" s="43" t="inlineStr">
        <is>
          <t>GSM4230UP</t>
        </is>
      </c>
      <c r="B44" s="43" t="inlineStr">
        <is>
          <t>M4250-26G4F-PoE++</t>
        </is>
      </c>
      <c r="C44" s="43" t="inlineStr">
        <is>
          <t>GSM4230UP-100PRS</t>
        </is>
      </c>
      <c r="D44" s="43" t="inlineStr">
        <is>
          <t>China</t>
        </is>
      </c>
      <c r="E44" s="43" t="inlineStr">
        <is>
          <t>Region cord</t>
        </is>
      </c>
      <c r="F44" s="43" t="inlineStr">
        <is>
          <t>No</t>
        </is>
      </c>
      <c r="G44" s="43" t="n"/>
    </row>
    <row r="45" ht="15" customHeight="1" s="29">
      <c r="A45" s="43" t="inlineStr">
        <is>
          <t>GSM4230PX</t>
        </is>
      </c>
      <c r="B45" s="43" t="inlineStr">
        <is>
          <t>M4250-26G4XF-PoE+</t>
        </is>
      </c>
      <c r="C45" s="43" t="inlineStr">
        <is>
          <t>GSM4230PX-100NAS</t>
        </is>
      </c>
      <c r="D45" s="43" t="inlineStr">
        <is>
          <t>Americas</t>
        </is>
      </c>
      <c r="E45" s="43" t="inlineStr">
        <is>
          <t>Region cord</t>
        </is>
      </c>
      <c r="F45" s="43" t="inlineStr">
        <is>
          <t>No</t>
        </is>
      </c>
      <c r="G45" s="43" t="n"/>
    </row>
    <row r="46" ht="15" customHeight="1" s="29">
      <c r="A46" s="43" t="inlineStr">
        <is>
          <t>GSM4230PX</t>
        </is>
      </c>
      <c r="B46" s="43" t="inlineStr">
        <is>
          <t>M4250-26G4XF-PoE+</t>
        </is>
      </c>
      <c r="C46" s="43" t="inlineStr">
        <is>
          <t>GSM4230PX-100EUS</t>
        </is>
      </c>
      <c r="D46" s="43" t="inlineStr">
        <is>
          <t>Europe</t>
        </is>
      </c>
      <c r="E46" s="43" t="inlineStr">
        <is>
          <t>Region cord</t>
        </is>
      </c>
      <c r="F46" s="43" t="inlineStr">
        <is>
          <t>No</t>
        </is>
      </c>
      <c r="G46" s="43" t="n"/>
    </row>
    <row r="47" ht="15" customHeight="1" s="29">
      <c r="A47" s="43" t="inlineStr">
        <is>
          <t>GSM4230PX</t>
        </is>
      </c>
      <c r="B47" s="43" t="inlineStr">
        <is>
          <t>M4250-26G4XF-PoE+</t>
        </is>
      </c>
      <c r="C47" s="43" t="inlineStr">
        <is>
          <t>GSM4230PX-100AJS</t>
        </is>
      </c>
      <c r="D47" s="43" t="inlineStr">
        <is>
          <t>Asia Pacific</t>
        </is>
      </c>
      <c r="E47" s="43" t="inlineStr">
        <is>
          <t>Region cord</t>
        </is>
      </c>
      <c r="F47" s="43" t="inlineStr">
        <is>
          <t>No</t>
        </is>
      </c>
      <c r="G47" s="43" t="n"/>
    </row>
    <row r="48" ht="15" customHeight="1" s="29">
      <c r="A48" s="43" t="inlineStr">
        <is>
          <t>GSM4230PX</t>
        </is>
      </c>
      <c r="B48" s="43" t="inlineStr">
        <is>
          <t>M4250-26G4XF-PoE+</t>
        </is>
      </c>
      <c r="C48" s="43" t="inlineStr">
        <is>
          <t>GSM4230PX-100PRS</t>
        </is>
      </c>
      <c r="D48" s="43" t="inlineStr">
        <is>
          <t>China</t>
        </is>
      </c>
      <c r="E48" s="43" t="inlineStr">
        <is>
          <t>Region cord</t>
        </is>
      </c>
      <c r="F48" s="43" t="inlineStr">
        <is>
          <t>No</t>
        </is>
      </c>
      <c r="G48" s="43" t="n"/>
    </row>
    <row r="49" ht="15" customHeight="1" s="29">
      <c r="A49" s="43" t="inlineStr">
        <is>
          <t>GSM4248P</t>
        </is>
      </c>
      <c r="B49" s="43" t="inlineStr">
        <is>
          <t>M4250-40G8F-PoE+</t>
        </is>
      </c>
      <c r="C49" s="43" t="inlineStr">
        <is>
          <t>GSM4248P-100NAS</t>
        </is>
      </c>
      <c r="D49" s="43" t="inlineStr">
        <is>
          <t>Americas</t>
        </is>
      </c>
      <c r="E49" s="43" t="inlineStr">
        <is>
          <t>Region cord</t>
        </is>
      </c>
      <c r="F49" s="43" t="inlineStr">
        <is>
          <t>No</t>
        </is>
      </c>
      <c r="G49" s="43" t="n"/>
    </row>
    <row r="50" ht="15" customHeight="1" s="29">
      <c r="A50" s="43" t="inlineStr">
        <is>
          <t>GSM4248P</t>
        </is>
      </c>
      <c r="B50" s="43" t="inlineStr">
        <is>
          <t>M4250-40G8F-PoE+</t>
        </is>
      </c>
      <c r="C50" s="43" t="inlineStr">
        <is>
          <t>GSM4248P-100EUS</t>
        </is>
      </c>
      <c r="D50" s="43" t="inlineStr">
        <is>
          <t>Europe</t>
        </is>
      </c>
      <c r="E50" s="43" t="inlineStr">
        <is>
          <t>Region cord</t>
        </is>
      </c>
      <c r="F50" s="43" t="inlineStr">
        <is>
          <t>No</t>
        </is>
      </c>
      <c r="G50" s="43" t="n"/>
    </row>
    <row r="51" ht="15" customHeight="1" s="29">
      <c r="A51" s="43" t="inlineStr">
        <is>
          <t>GSM4248P</t>
        </is>
      </c>
      <c r="B51" s="43" t="inlineStr">
        <is>
          <t>M4250-40G8F-PoE+</t>
        </is>
      </c>
      <c r="C51" s="43" t="inlineStr">
        <is>
          <t>GSM4248P-100AJS</t>
        </is>
      </c>
      <c r="D51" s="43" t="inlineStr">
        <is>
          <t>Asia Pacific</t>
        </is>
      </c>
      <c r="E51" s="43" t="inlineStr">
        <is>
          <t>Region cord</t>
        </is>
      </c>
      <c r="F51" s="43" t="inlineStr">
        <is>
          <t>No</t>
        </is>
      </c>
      <c r="G51" s="43" t="n"/>
    </row>
    <row r="52" ht="15" customHeight="1" s="29">
      <c r="A52" s="43" t="inlineStr">
        <is>
          <t>GSM4248P</t>
        </is>
      </c>
      <c r="B52" s="43" t="inlineStr">
        <is>
          <t>M4250-40G8F-PoE+</t>
        </is>
      </c>
      <c r="C52" s="43" t="inlineStr">
        <is>
          <t>GSM4248P-100PRS</t>
        </is>
      </c>
      <c r="D52" s="43" t="inlineStr">
        <is>
          <t>China</t>
        </is>
      </c>
      <c r="E52" s="43" t="inlineStr">
        <is>
          <t>Region cord</t>
        </is>
      </c>
      <c r="F52" s="43" t="inlineStr">
        <is>
          <t>No</t>
        </is>
      </c>
      <c r="G52" s="43" t="n"/>
    </row>
    <row r="53" ht="15" customHeight="1" s="29">
      <c r="A53" s="43" t="inlineStr">
        <is>
          <t>GSM4248PX</t>
        </is>
      </c>
      <c r="B53" s="43" t="inlineStr">
        <is>
          <t>M4250-40G8XF-PoE+</t>
        </is>
      </c>
      <c r="C53" s="43" t="inlineStr">
        <is>
          <t>GSM4248PX-100NAS</t>
        </is>
      </c>
      <c r="D53" s="43" t="inlineStr">
        <is>
          <t>Americas</t>
        </is>
      </c>
      <c r="E53" s="43" t="inlineStr">
        <is>
          <t>Region cord</t>
        </is>
      </c>
      <c r="F53" s="43" t="inlineStr">
        <is>
          <t>No</t>
        </is>
      </c>
      <c r="G53" s="43" t="n"/>
    </row>
    <row r="54" ht="15" customHeight="1" s="29">
      <c r="A54" s="43" t="inlineStr">
        <is>
          <t>GSM4248PX</t>
        </is>
      </c>
      <c r="B54" s="43" t="inlineStr">
        <is>
          <t>M4250-40G8XF-PoE+</t>
        </is>
      </c>
      <c r="C54" s="43" t="inlineStr">
        <is>
          <t>GSM4248PX-100EUS</t>
        </is>
      </c>
      <c r="D54" s="43" t="inlineStr">
        <is>
          <t>Europe</t>
        </is>
      </c>
      <c r="E54" s="43" t="inlineStr">
        <is>
          <t>Region cord</t>
        </is>
      </c>
      <c r="F54" s="43" t="inlineStr">
        <is>
          <t>No</t>
        </is>
      </c>
      <c r="G54" s="43" t="n"/>
    </row>
    <row r="55" ht="15" customHeight="1" s="29">
      <c r="A55" s="43" t="inlineStr">
        <is>
          <t>GSM4248PX</t>
        </is>
      </c>
      <c r="B55" s="43" t="inlineStr">
        <is>
          <t>M4250-40G8XF-PoE+</t>
        </is>
      </c>
      <c r="C55" s="43" t="inlineStr">
        <is>
          <t>GSM4248PX-100AJS</t>
        </is>
      </c>
      <c r="D55" s="43" t="inlineStr">
        <is>
          <t>Asia Pacific</t>
        </is>
      </c>
      <c r="E55" s="43" t="inlineStr">
        <is>
          <t>Region cord</t>
        </is>
      </c>
      <c r="F55" s="43" t="inlineStr">
        <is>
          <t>No</t>
        </is>
      </c>
      <c r="G55" s="43" t="n"/>
    </row>
    <row r="56" ht="15" customHeight="1" s="29">
      <c r="A56" s="43" t="inlineStr">
        <is>
          <t>GSM4248PX</t>
        </is>
      </c>
      <c r="B56" s="43" t="inlineStr">
        <is>
          <t>M4250-40G8XF-PoE+</t>
        </is>
      </c>
      <c r="C56" s="43" t="inlineStr">
        <is>
          <t>GSM4248PX-100PRS</t>
        </is>
      </c>
      <c r="D56" s="43" t="inlineStr">
        <is>
          <t>China</t>
        </is>
      </c>
      <c r="E56" s="43" t="inlineStr">
        <is>
          <t>Region cord</t>
        </is>
      </c>
      <c r="F56" s="43" t="inlineStr">
        <is>
          <t>No</t>
        </is>
      </c>
      <c r="G56" s="43" t="n"/>
    </row>
    <row r="57" ht="15" customHeight="1" s="29">
      <c r="A57" s="43" t="inlineStr">
        <is>
          <t>GSM4248UX</t>
        </is>
      </c>
      <c r="B57" s="43" t="inlineStr">
        <is>
          <t>M4250-40G8XF-PoE++</t>
        </is>
      </c>
      <c r="C57" s="43" t="inlineStr">
        <is>
          <t>GSM4248UX-100NAS</t>
        </is>
      </c>
      <c r="D57" s="43" t="inlineStr">
        <is>
          <t>Americas</t>
        </is>
      </c>
      <c r="E57" s="43" t="inlineStr">
        <is>
          <t>Region cord</t>
        </is>
      </c>
      <c r="F57" s="43" t="inlineStr">
        <is>
          <t>No</t>
        </is>
      </c>
      <c r="G57" s="43" t="n"/>
    </row>
    <row r="58" ht="15" customHeight="1" s="29">
      <c r="A58" s="43" t="inlineStr">
        <is>
          <t>GSM4248UX</t>
        </is>
      </c>
      <c r="B58" s="43" t="inlineStr">
        <is>
          <t>M4250-40G8XF-PoE++</t>
        </is>
      </c>
      <c r="C58" s="43" t="inlineStr">
        <is>
          <t>GSM4248UX-100EUS</t>
        </is>
      </c>
      <c r="D58" s="43" t="inlineStr">
        <is>
          <t>Europe</t>
        </is>
      </c>
      <c r="E58" s="43" t="inlineStr">
        <is>
          <t>Region cord</t>
        </is>
      </c>
      <c r="F58" s="43" t="inlineStr">
        <is>
          <t>No</t>
        </is>
      </c>
      <c r="G58" s="43" t="n"/>
    </row>
    <row r="59" ht="15" customHeight="1" s="29">
      <c r="A59" s="43" t="inlineStr">
        <is>
          <t>GSM4248UX</t>
        </is>
      </c>
      <c r="B59" s="43" t="inlineStr">
        <is>
          <t>M4250-40G8XF-PoE++</t>
        </is>
      </c>
      <c r="C59" s="43" t="inlineStr">
        <is>
          <t>GSM4248UX-100AJS</t>
        </is>
      </c>
      <c r="D59" s="43" t="inlineStr">
        <is>
          <t>Asia Pacific</t>
        </is>
      </c>
      <c r="E59" s="43" t="inlineStr">
        <is>
          <t>Region cord</t>
        </is>
      </c>
      <c r="F59" s="43" t="inlineStr">
        <is>
          <t>No</t>
        </is>
      </c>
      <c r="G59" s="43" t="n"/>
    </row>
    <row r="60" ht="15" customHeight="1" s="29">
      <c r="A60" s="43" t="inlineStr">
        <is>
          <t>GSM4248UX</t>
        </is>
      </c>
      <c r="B60" s="43" t="inlineStr">
        <is>
          <t>M4250-40G8XF-PoE++</t>
        </is>
      </c>
      <c r="C60" s="43" t="inlineStr">
        <is>
          <t>GSM4248UX-100PRS</t>
        </is>
      </c>
      <c r="D60" s="43" t="inlineStr">
        <is>
          <t>China</t>
        </is>
      </c>
      <c r="E60" s="43" t="inlineStr">
        <is>
          <t>Region cord</t>
        </is>
      </c>
      <c r="F60" s="43" t="inlineStr">
        <is>
          <t>No</t>
        </is>
      </c>
      <c r="G60" s="43" t="n"/>
    </row>
    <row r="61" ht="15" customHeight="1" s="29">
      <c r="A61" s="43" t="inlineStr">
        <is>
          <t>MSM4214X</t>
        </is>
      </c>
      <c r="B61" s="43" t="inlineStr">
        <is>
          <t>M4250-12M2XF</t>
        </is>
      </c>
      <c r="C61" s="43" t="inlineStr">
        <is>
          <t>MSM4214X-100NAS</t>
        </is>
      </c>
      <c r="D61" s="43" t="inlineStr">
        <is>
          <t>Americas</t>
        </is>
      </c>
      <c r="E61" s="43" t="inlineStr">
        <is>
          <t>Region cord</t>
        </is>
      </c>
      <c r="F61" s="43" t="inlineStr">
        <is>
          <t>No</t>
        </is>
      </c>
      <c r="G61" s="43" t="n"/>
    </row>
    <row r="62" ht="15" customHeight="1" s="29">
      <c r="A62" s="43" t="inlineStr">
        <is>
          <t>MSM4214X</t>
        </is>
      </c>
      <c r="B62" s="43" t="inlineStr">
        <is>
          <t>M4250-12M2XF</t>
        </is>
      </c>
      <c r="C62" s="43" t="inlineStr">
        <is>
          <t>MSM4214X-100EUS</t>
        </is>
      </c>
      <c r="D62" s="43" t="inlineStr">
        <is>
          <t>Europe</t>
        </is>
      </c>
      <c r="E62" s="43" t="inlineStr">
        <is>
          <t>Region cord</t>
        </is>
      </c>
      <c r="F62" s="43" t="inlineStr">
        <is>
          <t>No</t>
        </is>
      </c>
      <c r="G62" s="43" t="n"/>
    </row>
    <row r="63" ht="15" customHeight="1" s="29">
      <c r="A63" s="43" t="inlineStr">
        <is>
          <t>MSM4214X</t>
        </is>
      </c>
      <c r="B63" s="43" t="inlineStr">
        <is>
          <t>M4250-12M2XF</t>
        </is>
      </c>
      <c r="C63" s="43" t="inlineStr">
        <is>
          <t>MSM4214X-100AJS</t>
        </is>
      </c>
      <c r="D63" s="43" t="inlineStr">
        <is>
          <t>Asia Pacific</t>
        </is>
      </c>
      <c r="E63" s="43" t="inlineStr">
        <is>
          <t>Region cord</t>
        </is>
      </c>
      <c r="F63" s="43" t="inlineStr">
        <is>
          <t>No</t>
        </is>
      </c>
      <c r="G63" s="43" t="n"/>
    </row>
    <row r="64" ht="15" customHeight="1" s="29">
      <c r="A64" s="43" t="inlineStr">
        <is>
          <t>MSM4214X</t>
        </is>
      </c>
      <c r="B64" s="43" t="inlineStr">
        <is>
          <t>M4250-12M2XF</t>
        </is>
      </c>
      <c r="C64" s="43" t="inlineStr">
        <is>
          <t>MSM4214X-100PRS</t>
        </is>
      </c>
      <c r="D64" s="43" t="inlineStr">
        <is>
          <t>China</t>
        </is>
      </c>
      <c r="E64" s="43" t="inlineStr">
        <is>
          <t>Region cord</t>
        </is>
      </c>
      <c r="F64" s="43" t="inlineStr">
        <is>
          <t>No</t>
        </is>
      </c>
      <c r="G64" s="43" t="n"/>
    </row>
    <row r="65" ht="15" customHeight="1" s="29">
      <c r="A65" s="43" t="inlineStr">
        <is>
          <t>XSM4216F</t>
        </is>
      </c>
      <c r="B65" s="43" t="inlineStr">
        <is>
          <t>M4250-16XF</t>
        </is>
      </c>
      <c r="C65" s="43" t="inlineStr">
        <is>
          <t>XSM4216F-100NAS</t>
        </is>
      </c>
      <c r="D65" s="43" t="inlineStr">
        <is>
          <t>Americas</t>
        </is>
      </c>
      <c r="E65" s="43" t="inlineStr">
        <is>
          <t>Region cord</t>
        </is>
      </c>
      <c r="F65" s="43" t="inlineStr">
        <is>
          <t>No</t>
        </is>
      </c>
      <c r="G65" s="43" t="n"/>
    </row>
    <row r="66" ht="15" customHeight="1" s="29">
      <c r="A66" s="43" t="inlineStr">
        <is>
          <t>XSM4216F</t>
        </is>
      </c>
      <c r="B66" s="43" t="inlineStr">
        <is>
          <t>M4250-16XF</t>
        </is>
      </c>
      <c r="C66" s="43" t="inlineStr">
        <is>
          <t>XSM4216F-100EUS</t>
        </is>
      </c>
      <c r="D66" s="43" t="inlineStr">
        <is>
          <t>Europe</t>
        </is>
      </c>
      <c r="E66" s="43" t="inlineStr">
        <is>
          <t>Region cord</t>
        </is>
      </c>
      <c r="F66" s="43" t="inlineStr">
        <is>
          <t>No</t>
        </is>
      </c>
      <c r="G66" s="43" t="n"/>
    </row>
    <row r="67" ht="15" customHeight="1" s="29">
      <c r="A67" s="43" t="inlineStr">
        <is>
          <t>XSM4216F</t>
        </is>
      </c>
      <c r="B67" s="43" t="inlineStr">
        <is>
          <t>M4250-16XF</t>
        </is>
      </c>
      <c r="C67" s="43" t="inlineStr">
        <is>
          <t>XSM4216F-100AJS</t>
        </is>
      </c>
      <c r="D67" s="43" t="inlineStr">
        <is>
          <t>Asia Pacific</t>
        </is>
      </c>
      <c r="E67" s="43" t="inlineStr">
        <is>
          <t>Region cord</t>
        </is>
      </c>
      <c r="F67" s="43" t="inlineStr">
        <is>
          <t>No</t>
        </is>
      </c>
      <c r="G67" s="43" t="n"/>
    </row>
    <row r="68" ht="15" customHeight="1" s="29">
      <c r="A68" s="43" t="inlineStr">
        <is>
          <t>XSM4216F</t>
        </is>
      </c>
      <c r="B68" s="43" t="inlineStr">
        <is>
          <t>M4250-16XF</t>
        </is>
      </c>
      <c r="C68" s="43" t="inlineStr">
        <is>
          <t>XSM4216F-100PRS</t>
        </is>
      </c>
      <c r="D68" s="43" t="inlineStr">
        <is>
          <t>China</t>
        </is>
      </c>
      <c r="E68" s="43" t="inlineStr">
        <is>
          <t>Region cord</t>
        </is>
      </c>
      <c r="F68" s="43" t="inlineStr">
        <is>
          <t>No</t>
        </is>
      </c>
      <c r="G68" s="43" t="n"/>
    </row>
    <row r="69" ht="15" customHeight="1" s="29">
      <c r="A69" s="43" t="inlineStr">
        <is>
          <t>GSM4328</t>
        </is>
      </c>
      <c r="B69" s="43" t="inlineStr">
        <is>
          <t>M4350-24G4XF</t>
        </is>
      </c>
      <c r="C69" s="43" t="inlineStr">
        <is>
          <t>GSM4328-100NES</t>
        </is>
      </c>
      <c r="D69" s="43" t="inlineStr">
        <is>
          <t>Americas / Europe</t>
        </is>
      </c>
      <c r="E69" s="43" t="inlineStr">
        <is>
          <t>NA, UK, EU cords</t>
        </is>
      </c>
      <c r="F69" s="43" t="inlineStr">
        <is>
          <t>No</t>
        </is>
      </c>
      <c r="G69" s="43" t="n"/>
    </row>
    <row r="70" ht="15" customHeight="1" s="29">
      <c r="A70" s="43" t="inlineStr">
        <is>
          <t>GSM4328</t>
        </is>
      </c>
      <c r="B70" s="43" t="inlineStr">
        <is>
          <t>M4350-24G4XF</t>
        </is>
      </c>
      <c r="C70" s="43" t="inlineStr">
        <is>
          <t>GSM4328-100AJS</t>
        </is>
      </c>
      <c r="D70" s="43" t="inlineStr">
        <is>
          <t>Asia Pacific</t>
        </is>
      </c>
      <c r="E70" s="43" t="inlineStr">
        <is>
          <t>JP, AU cords</t>
        </is>
      </c>
      <c r="F70" s="43" t="inlineStr">
        <is>
          <t>No</t>
        </is>
      </c>
      <c r="G70" s="43" t="n"/>
    </row>
    <row r="71" ht="15" customHeight="1" s="29">
      <c r="A71" s="43" t="inlineStr">
        <is>
          <t>GSM4328</t>
        </is>
      </c>
      <c r="B71" s="43" t="inlineStr">
        <is>
          <t>M4350-24G4XF</t>
        </is>
      </c>
      <c r="C71" s="43" t="inlineStr">
        <is>
          <t>GSM4328-100PRS</t>
        </is>
      </c>
      <c r="D71" s="43" t="inlineStr">
        <is>
          <t>China</t>
        </is>
      </c>
      <c r="E71" s="43" t="inlineStr">
        <is>
          <t>CN cord</t>
        </is>
      </c>
      <c r="F71" s="43" t="inlineStr">
        <is>
          <t>No</t>
        </is>
      </c>
      <c r="G71" s="43" t="n"/>
    </row>
    <row r="72" ht="15" customHeight="1" s="29">
      <c r="A72" s="43" t="inlineStr">
        <is>
          <t>GSM4352</t>
        </is>
      </c>
      <c r="B72" s="43" t="inlineStr">
        <is>
          <t>M4350-48G4XF</t>
        </is>
      </c>
      <c r="C72" s="43" t="inlineStr">
        <is>
          <t>GSM4352-100NES</t>
        </is>
      </c>
      <c r="D72" s="43" t="inlineStr">
        <is>
          <t>Americas / Europe</t>
        </is>
      </c>
      <c r="E72" s="43" t="inlineStr">
        <is>
          <t>NA, UK, EU cords</t>
        </is>
      </c>
      <c r="F72" s="43" t="inlineStr">
        <is>
          <t>No</t>
        </is>
      </c>
      <c r="G72" s="43" t="n"/>
    </row>
    <row r="73" ht="15" customHeight="1" s="29">
      <c r="A73" s="43" t="inlineStr">
        <is>
          <t>GSM4352</t>
        </is>
      </c>
      <c r="B73" s="43" t="inlineStr">
        <is>
          <t>M4350-48G4XF</t>
        </is>
      </c>
      <c r="C73" s="43" t="inlineStr">
        <is>
          <t>GSM4352-100AJS</t>
        </is>
      </c>
      <c r="D73" s="43" t="inlineStr">
        <is>
          <t>Asia Pacific</t>
        </is>
      </c>
      <c r="E73" s="43" t="inlineStr">
        <is>
          <t>JP, AU cords</t>
        </is>
      </c>
      <c r="F73" s="43" t="inlineStr">
        <is>
          <t>No</t>
        </is>
      </c>
      <c r="G73" s="43" t="n"/>
    </row>
    <row r="74" ht="15" customHeight="1" s="29">
      <c r="A74" s="43" t="inlineStr">
        <is>
          <t>GSM4352</t>
        </is>
      </c>
      <c r="B74" s="43" t="inlineStr">
        <is>
          <t>M4350-48G4XF</t>
        </is>
      </c>
      <c r="C74" s="43" t="inlineStr">
        <is>
          <t>GSM4352-100PRS</t>
        </is>
      </c>
      <c r="D74" s="43" t="inlineStr">
        <is>
          <t>China</t>
        </is>
      </c>
      <c r="E74" s="43" t="inlineStr">
        <is>
          <t>CN cord</t>
        </is>
      </c>
      <c r="F74" s="43" t="inlineStr">
        <is>
          <t>No</t>
        </is>
      </c>
      <c r="G74" s="43" t="n"/>
    </row>
    <row r="75" ht="15" customHeight="1" s="29">
      <c r="A75" s="43" t="inlineStr">
        <is>
          <t>MSM4310</t>
        </is>
      </c>
      <c r="B75" s="43" t="inlineStr">
        <is>
          <t>M4350-8M2V</t>
        </is>
      </c>
      <c r="C75" s="43" t="inlineStr">
        <is>
          <t>MSM4310-100NES</t>
        </is>
      </c>
      <c r="D75" s="43" t="inlineStr">
        <is>
          <t>Americas / Europe</t>
        </is>
      </c>
      <c r="E75" s="43" t="inlineStr">
        <is>
          <t>NA, UK, EU cords</t>
        </is>
      </c>
      <c r="F75" s="43" t="inlineStr">
        <is>
          <t>No</t>
        </is>
      </c>
      <c r="G75" s="43" t="n"/>
    </row>
    <row r="76" ht="15" customHeight="1" s="29">
      <c r="A76" s="43" t="inlineStr">
        <is>
          <t>MSM4310</t>
        </is>
      </c>
      <c r="B76" s="43" t="inlineStr">
        <is>
          <t>M4350-8M2V</t>
        </is>
      </c>
      <c r="C76" s="43" t="inlineStr">
        <is>
          <t>MSM4310-TAANES</t>
        </is>
      </c>
      <c r="D76" s="43" t="inlineStr">
        <is>
          <t>Americas (TAA compliant)</t>
        </is>
      </c>
      <c r="E76" s="43" t="inlineStr">
        <is>
          <t>NA, UK, EU cords</t>
        </is>
      </c>
      <c r="F76" s="43" t="inlineStr">
        <is>
          <t>Yes</t>
        </is>
      </c>
      <c r="G76" s="43" t="n"/>
    </row>
    <row r="77" ht="15" customHeight="1" s="29">
      <c r="A77" s="43" t="inlineStr">
        <is>
          <t>MSM4310</t>
        </is>
      </c>
      <c r="B77" s="43" t="inlineStr">
        <is>
          <t>M4350-8M2V</t>
        </is>
      </c>
      <c r="C77" s="43" t="inlineStr">
        <is>
          <t>MSM4310-100AJS</t>
        </is>
      </c>
      <c r="D77" s="43" t="inlineStr">
        <is>
          <t>Asia Pacific</t>
        </is>
      </c>
      <c r="E77" s="43" t="inlineStr">
        <is>
          <t>JP, AU cords</t>
        </is>
      </c>
      <c r="F77" s="43" t="inlineStr">
        <is>
          <t>No</t>
        </is>
      </c>
      <c r="G77" s="43" t="n"/>
    </row>
    <row r="78" ht="15" customHeight="1" s="29">
      <c r="A78" s="43" t="inlineStr">
        <is>
          <t>MSM4310</t>
        </is>
      </c>
      <c r="B78" s="43" t="inlineStr">
        <is>
          <t>M4350-8M2V</t>
        </is>
      </c>
      <c r="C78" s="43" t="inlineStr">
        <is>
          <t>MSM4310-100PRS</t>
        </is>
      </c>
      <c r="D78" s="43" t="inlineStr">
        <is>
          <t>China</t>
        </is>
      </c>
      <c r="E78" s="43" t="inlineStr">
        <is>
          <t>CN cord</t>
        </is>
      </c>
      <c r="F78" s="43" t="inlineStr">
        <is>
          <t>No</t>
        </is>
      </c>
      <c r="G78" s="43" t="n"/>
    </row>
    <row r="79" ht="15" customHeight="1" s="29">
      <c r="A79" s="43" t="inlineStr">
        <is>
          <t>MSM4332</t>
        </is>
      </c>
      <c r="B79" s="43" t="inlineStr">
        <is>
          <t>M4350-24M4X4V</t>
        </is>
      </c>
      <c r="C79" s="43" t="inlineStr">
        <is>
          <t>MSM4332-100NES</t>
        </is>
      </c>
      <c r="D79" s="43" t="inlineStr">
        <is>
          <t>Americas / Europe</t>
        </is>
      </c>
      <c r="E79" s="43" t="inlineStr">
        <is>
          <t>NA, UK, EU cords</t>
        </is>
      </c>
      <c r="F79" s="43" t="inlineStr">
        <is>
          <t>No</t>
        </is>
      </c>
      <c r="G79" s="43" t="n"/>
    </row>
    <row r="80" ht="15" customHeight="1" s="29">
      <c r="A80" s="43" t="inlineStr">
        <is>
          <t>MSM4332</t>
        </is>
      </c>
      <c r="B80" s="43" t="inlineStr">
        <is>
          <t>M4350-24M4X4V</t>
        </is>
      </c>
      <c r="C80" s="43" t="inlineStr">
        <is>
          <t>MSM4332-TAANES</t>
        </is>
      </c>
      <c r="D80" s="43" t="inlineStr">
        <is>
          <t>Americas (TAA compliant)</t>
        </is>
      </c>
      <c r="E80" s="43" t="inlineStr">
        <is>
          <t>NA, UK, EU cords</t>
        </is>
      </c>
      <c r="F80" s="43" t="inlineStr">
        <is>
          <t>Yes</t>
        </is>
      </c>
      <c r="G80" s="43" t="n"/>
    </row>
    <row r="81" ht="15" customHeight="1" s="29">
      <c r="A81" s="43" t="inlineStr">
        <is>
          <t>MSM4332</t>
        </is>
      </c>
      <c r="B81" s="43" t="inlineStr">
        <is>
          <t>M4350-24M4X4V</t>
        </is>
      </c>
      <c r="C81" s="43" t="inlineStr">
        <is>
          <t>MSM4332-100AJS</t>
        </is>
      </c>
      <c r="D81" s="43" t="inlineStr">
        <is>
          <t>Asia Pacific</t>
        </is>
      </c>
      <c r="E81" s="43" t="inlineStr">
        <is>
          <t>JP, AU cords</t>
        </is>
      </c>
      <c r="F81" s="43" t="inlineStr">
        <is>
          <t>No</t>
        </is>
      </c>
      <c r="G81" s="43" t="n"/>
    </row>
    <row r="82" ht="15" customHeight="1" s="29">
      <c r="A82" s="43" t="inlineStr">
        <is>
          <t>MSM4332</t>
        </is>
      </c>
      <c r="B82" s="43" t="inlineStr">
        <is>
          <t>M4350-24M4X4V</t>
        </is>
      </c>
      <c r="C82" s="43" t="inlineStr">
        <is>
          <t>MSM4332-100PRS</t>
        </is>
      </c>
      <c r="D82" s="43" t="inlineStr">
        <is>
          <t>China</t>
        </is>
      </c>
      <c r="E82" s="43" t="inlineStr">
        <is>
          <t>CN cord</t>
        </is>
      </c>
      <c r="F82" s="43" t="inlineStr">
        <is>
          <t>No</t>
        </is>
      </c>
      <c r="G82" s="43" t="n"/>
    </row>
    <row r="83" ht="15" customHeight="1" s="29">
      <c r="A83" s="43" t="inlineStr">
        <is>
          <t>MSM4352</t>
        </is>
      </c>
      <c r="B83" s="43" t="inlineStr">
        <is>
          <t>M4350-44M4X4V</t>
        </is>
      </c>
      <c r="C83" s="43" t="inlineStr">
        <is>
          <t>MSM4352-100NES</t>
        </is>
      </c>
      <c r="D83" s="43" t="inlineStr">
        <is>
          <t>Americas / Europe</t>
        </is>
      </c>
      <c r="E83" s="43" t="inlineStr">
        <is>
          <t>NA, UK, EU cords</t>
        </is>
      </c>
      <c r="F83" s="43" t="inlineStr">
        <is>
          <t>No</t>
        </is>
      </c>
      <c r="G83" s="43" t="n"/>
    </row>
    <row r="84" ht="15" customHeight="1" s="29">
      <c r="A84" s="43" t="inlineStr">
        <is>
          <t>MSM4352</t>
        </is>
      </c>
      <c r="B84" s="43" t="inlineStr">
        <is>
          <t>M4350-44M4X4V</t>
        </is>
      </c>
      <c r="C84" s="43" t="inlineStr">
        <is>
          <t>MSM4352-TAANES</t>
        </is>
      </c>
      <c r="D84" s="43" t="inlineStr">
        <is>
          <t>Americas (TAA compliant)</t>
        </is>
      </c>
      <c r="E84" s="43" t="inlineStr">
        <is>
          <t>NA, UK, EU cords</t>
        </is>
      </c>
      <c r="F84" s="43" t="inlineStr">
        <is>
          <t>Yes</t>
        </is>
      </c>
      <c r="G84" s="43" t="n"/>
    </row>
    <row r="85" ht="15" customHeight="1" s="29">
      <c r="A85" s="43" t="inlineStr">
        <is>
          <t>MSM4352</t>
        </is>
      </c>
      <c r="B85" s="43" t="inlineStr">
        <is>
          <t>M4350-44M4X4V</t>
        </is>
      </c>
      <c r="C85" s="43" t="inlineStr">
        <is>
          <t>MSM4352-100AJS</t>
        </is>
      </c>
      <c r="D85" s="43" t="inlineStr">
        <is>
          <t>Asia Pacific</t>
        </is>
      </c>
      <c r="E85" s="43" t="inlineStr">
        <is>
          <t>JP, AU cords</t>
        </is>
      </c>
      <c r="F85" s="43" t="inlineStr">
        <is>
          <t>No</t>
        </is>
      </c>
      <c r="G85" s="43" t="n"/>
    </row>
    <row r="86" ht="15" customHeight="1" s="29">
      <c r="A86" s="43" t="inlineStr">
        <is>
          <t>MSM4352</t>
        </is>
      </c>
      <c r="B86" s="43" t="inlineStr">
        <is>
          <t>M4350-44M4X4V</t>
        </is>
      </c>
      <c r="C86" s="43" t="inlineStr">
        <is>
          <t>MSM4352-100PRS</t>
        </is>
      </c>
      <c r="D86" s="43" t="inlineStr">
        <is>
          <t>China</t>
        </is>
      </c>
      <c r="E86" s="43" t="inlineStr">
        <is>
          <t>CN cord</t>
        </is>
      </c>
      <c r="F86" s="43" t="inlineStr">
        <is>
          <t>No</t>
        </is>
      </c>
      <c r="G86" s="43" t="n"/>
    </row>
    <row r="87" ht="15" customHeight="1" s="29">
      <c r="A87" s="43" t="inlineStr">
        <is>
          <t>MSM4328F</t>
        </is>
      </c>
      <c r="B87" s="43" t="inlineStr">
        <is>
          <t>M4350-24F4X</t>
        </is>
      </c>
      <c r="C87" s="43" t="inlineStr">
        <is>
          <t>MSM4328F-100NES</t>
        </is>
      </c>
      <c r="D87" s="43" t="inlineStr">
        <is>
          <t>Americas / Europe</t>
        </is>
      </c>
      <c r="E87" s="43" t="inlineStr">
        <is>
          <t>NA, UK, EU cords</t>
        </is>
      </c>
      <c r="F87" s="43" t="inlineStr">
        <is>
          <t>No</t>
        </is>
      </c>
      <c r="G87" s="43" t="n"/>
    </row>
    <row r="88" ht="15" customHeight="1" s="29">
      <c r="A88" s="43" t="inlineStr">
        <is>
          <t>MSM4328F</t>
        </is>
      </c>
      <c r="B88" s="43" t="inlineStr">
        <is>
          <t>M4350-24F4X</t>
        </is>
      </c>
      <c r="C88" s="43" t="inlineStr">
        <is>
          <t>MSM4328F-TAANES</t>
        </is>
      </c>
      <c r="D88" s="43" t="inlineStr">
        <is>
          <t>Americas (TAA compliant)</t>
        </is>
      </c>
      <c r="E88" s="43" t="inlineStr">
        <is>
          <t>NA, UK, EU cords</t>
        </is>
      </c>
      <c r="F88" s="43" t="inlineStr">
        <is>
          <t>Yes</t>
        </is>
      </c>
      <c r="G88" s="43" t="n"/>
    </row>
    <row r="89" ht="15" customHeight="1" s="29">
      <c r="A89" s="43" t="inlineStr">
        <is>
          <t>MSM4328F</t>
        </is>
      </c>
      <c r="B89" s="43" t="inlineStr">
        <is>
          <t>M4350-24F4X</t>
        </is>
      </c>
      <c r="C89" s="43" t="inlineStr">
        <is>
          <t>MSM4328F-100AJS</t>
        </is>
      </c>
      <c r="D89" s="43" t="inlineStr">
        <is>
          <t>Asia Pacific</t>
        </is>
      </c>
      <c r="E89" s="43" t="inlineStr">
        <is>
          <t>JP, AU cords</t>
        </is>
      </c>
      <c r="F89" s="43" t="inlineStr">
        <is>
          <t>No</t>
        </is>
      </c>
      <c r="G89" s="43" t="n"/>
    </row>
    <row r="90" ht="15" customHeight="1" s="29">
      <c r="A90" s="43" t="inlineStr">
        <is>
          <t>MSM4328F</t>
        </is>
      </c>
      <c r="B90" s="43" t="inlineStr">
        <is>
          <t>M4350-24F4X</t>
        </is>
      </c>
      <c r="C90" s="43" t="inlineStr">
        <is>
          <t>MSM4328F-100PRS</t>
        </is>
      </c>
      <c r="D90" s="43" t="inlineStr">
        <is>
          <t>China</t>
        </is>
      </c>
      <c r="E90" s="43" t="inlineStr">
        <is>
          <t>CN cord</t>
        </is>
      </c>
      <c r="F90" s="43" t="inlineStr">
        <is>
          <t>No</t>
        </is>
      </c>
      <c r="G90" s="43" t="n"/>
    </row>
    <row r="91" ht="15" customHeight="1" s="29">
      <c r="A91" s="43" t="inlineStr">
        <is>
          <t>XSM4316</t>
        </is>
      </c>
      <c r="B91" s="43" t="inlineStr">
        <is>
          <t>M4350-8X8F</t>
        </is>
      </c>
      <c r="C91" s="43" t="inlineStr">
        <is>
          <t>XSM4316-100NES</t>
        </is>
      </c>
      <c r="D91" s="43" t="inlineStr">
        <is>
          <t>Americas / Europe</t>
        </is>
      </c>
      <c r="E91" s="43" t="inlineStr">
        <is>
          <t>NA, UK, EU cords</t>
        </is>
      </c>
      <c r="F91" s="43" t="inlineStr">
        <is>
          <t>No</t>
        </is>
      </c>
      <c r="G91" s="43" t="n"/>
    </row>
    <row r="92" ht="15" customHeight="1" s="29">
      <c r="A92" s="43" t="inlineStr">
        <is>
          <t>XSM4316</t>
        </is>
      </c>
      <c r="B92" s="43" t="inlineStr">
        <is>
          <t>M4350-8X8F</t>
        </is>
      </c>
      <c r="C92" s="43" t="inlineStr">
        <is>
          <t>XSM4316-100AJS</t>
        </is>
      </c>
      <c r="D92" s="43" t="inlineStr">
        <is>
          <t>Asia Pacific</t>
        </is>
      </c>
      <c r="E92" s="43" t="inlineStr">
        <is>
          <t>JP, AU cords</t>
        </is>
      </c>
      <c r="F92" s="43" t="inlineStr">
        <is>
          <t>No</t>
        </is>
      </c>
      <c r="G92" s="43" t="n"/>
    </row>
    <row r="93" ht="15" customHeight="1" s="29">
      <c r="A93" s="43" t="inlineStr">
        <is>
          <t>XSM4316</t>
        </is>
      </c>
      <c r="B93" s="43" t="inlineStr">
        <is>
          <t>M4350-8X8F</t>
        </is>
      </c>
      <c r="C93" s="43" t="inlineStr">
        <is>
          <t>XSM4316-100PRS</t>
        </is>
      </c>
      <c r="D93" s="43" t="inlineStr">
        <is>
          <t>China</t>
        </is>
      </c>
      <c r="E93" s="43" t="inlineStr">
        <is>
          <t>CN cord</t>
        </is>
      </c>
      <c r="F93" s="43" t="inlineStr">
        <is>
          <t>No</t>
        </is>
      </c>
      <c r="G93" s="43" t="n"/>
    </row>
    <row r="94" ht="15" customHeight="1" s="29">
      <c r="A94" s="43" t="inlineStr">
        <is>
          <t>XSM4324</t>
        </is>
      </c>
      <c r="B94" s="43" t="inlineStr">
        <is>
          <t>M4350-12X12F</t>
        </is>
      </c>
      <c r="C94" s="43" t="inlineStr">
        <is>
          <t>XSM4324-100NES</t>
        </is>
      </c>
      <c r="D94" s="43" t="inlineStr">
        <is>
          <t>Americas / Europe</t>
        </is>
      </c>
      <c r="E94" s="43" t="inlineStr">
        <is>
          <t>NA, UK, EU cords</t>
        </is>
      </c>
      <c r="F94" s="43" t="inlineStr">
        <is>
          <t>No</t>
        </is>
      </c>
      <c r="G94" s="43" t="n"/>
    </row>
    <row r="95" ht="15" customHeight="1" s="29">
      <c r="A95" s="43" t="inlineStr">
        <is>
          <t>XSM4324</t>
        </is>
      </c>
      <c r="B95" s="43" t="inlineStr">
        <is>
          <t>M4350-12X12F</t>
        </is>
      </c>
      <c r="C95" s="43" t="inlineStr">
        <is>
          <t>XSM4324-100AJS</t>
        </is>
      </c>
      <c r="D95" s="43" t="inlineStr">
        <is>
          <t>Asia Pacific</t>
        </is>
      </c>
      <c r="E95" s="43" t="inlineStr">
        <is>
          <t>JP, AU cords</t>
        </is>
      </c>
      <c r="F95" s="43" t="inlineStr">
        <is>
          <t>No</t>
        </is>
      </c>
      <c r="G95" s="43" t="n"/>
    </row>
    <row r="96" ht="15" customHeight="1" s="29">
      <c r="A96" s="43" t="inlineStr">
        <is>
          <t>XSM4324</t>
        </is>
      </c>
      <c r="B96" s="43" t="inlineStr">
        <is>
          <t>M4350-12X12F</t>
        </is>
      </c>
      <c r="C96" s="43" t="inlineStr">
        <is>
          <t>XSM4324-100PRS</t>
        </is>
      </c>
      <c r="D96" s="43" t="inlineStr">
        <is>
          <t>China</t>
        </is>
      </c>
      <c r="E96" s="43" t="inlineStr">
        <is>
          <t>CN cord</t>
        </is>
      </c>
      <c r="F96" s="43" t="inlineStr">
        <is>
          <t>No</t>
        </is>
      </c>
      <c r="G96" s="43" t="n"/>
    </row>
    <row r="97" ht="15" customHeight="1" s="29">
      <c r="A97" s="43" t="inlineStr">
        <is>
          <t>XSM4328CV</t>
        </is>
      </c>
      <c r="B97" s="43" t="inlineStr">
        <is>
          <t>M4350-24X4V</t>
        </is>
      </c>
      <c r="C97" s="43" t="inlineStr">
        <is>
          <t>XSM4328CV-100NES</t>
        </is>
      </c>
      <c r="D97" s="43" t="inlineStr">
        <is>
          <t>Americas / Europe</t>
        </is>
      </c>
      <c r="E97" s="43" t="inlineStr">
        <is>
          <t>NA, UK, EU cords</t>
        </is>
      </c>
      <c r="F97" s="43" t="inlineStr">
        <is>
          <t>No</t>
        </is>
      </c>
      <c r="G97" s="43" t="n"/>
    </row>
    <row r="98" ht="15" customHeight="1" s="29">
      <c r="A98" s="43" t="inlineStr">
        <is>
          <t>XSM4328CV</t>
        </is>
      </c>
      <c r="B98" s="43" t="inlineStr">
        <is>
          <t>M4350-24X4V</t>
        </is>
      </c>
      <c r="C98" s="43" t="inlineStr">
        <is>
          <t>XSM4328CV-TAANES</t>
        </is>
      </c>
      <c r="D98" s="43" t="inlineStr">
        <is>
          <t>Americas (TAA compliant)</t>
        </is>
      </c>
      <c r="E98" s="43" t="inlineStr">
        <is>
          <t>NA, UK, EU cords</t>
        </is>
      </c>
      <c r="F98" s="43" t="inlineStr">
        <is>
          <t>Yes</t>
        </is>
      </c>
      <c r="G98" s="43" t="n"/>
    </row>
    <row r="99" ht="15" customHeight="1" s="29">
      <c r="A99" s="43" t="inlineStr">
        <is>
          <t>XSM4328CV</t>
        </is>
      </c>
      <c r="B99" s="43" t="inlineStr">
        <is>
          <t>M4350-24X4V</t>
        </is>
      </c>
      <c r="C99" s="43" t="inlineStr">
        <is>
          <t>XSM4328CV-100AJS</t>
        </is>
      </c>
      <c r="D99" s="43" t="inlineStr">
        <is>
          <t>Asia Pacific</t>
        </is>
      </c>
      <c r="E99" s="43" t="inlineStr">
        <is>
          <t>JP, AU cords</t>
        </is>
      </c>
      <c r="F99" s="43" t="inlineStr">
        <is>
          <t>No</t>
        </is>
      </c>
      <c r="G99" s="43" t="n"/>
    </row>
    <row r="100" ht="15" customHeight="1" s="29">
      <c r="A100" s="43" t="inlineStr">
        <is>
          <t>XSM4328CV</t>
        </is>
      </c>
      <c r="B100" s="43" t="inlineStr">
        <is>
          <t>M4350-24X4V</t>
        </is>
      </c>
      <c r="C100" s="43" t="inlineStr">
        <is>
          <t>XSM4328CV-100PRS</t>
        </is>
      </c>
      <c r="D100" s="43" t="inlineStr">
        <is>
          <t>China</t>
        </is>
      </c>
      <c r="E100" s="43" t="inlineStr">
        <is>
          <t>CN cord</t>
        </is>
      </c>
      <c r="F100" s="43" t="inlineStr">
        <is>
          <t>No</t>
        </is>
      </c>
      <c r="G100" s="43" t="n"/>
    </row>
    <row r="101" ht="15" customHeight="1" s="29">
      <c r="A101" s="43" t="inlineStr">
        <is>
          <t>XSM4328FV</t>
        </is>
      </c>
      <c r="B101" s="43" t="inlineStr">
        <is>
          <t>M4350-24F4V</t>
        </is>
      </c>
      <c r="C101" s="43" t="inlineStr">
        <is>
          <t>XSM4328FV-100NES</t>
        </is>
      </c>
      <c r="D101" s="43" t="inlineStr">
        <is>
          <t>Americas / Europe</t>
        </is>
      </c>
      <c r="E101" s="43" t="inlineStr">
        <is>
          <t>NA, UK, EU cords</t>
        </is>
      </c>
      <c r="F101" s="43" t="inlineStr">
        <is>
          <t>No</t>
        </is>
      </c>
      <c r="G101" s="43" t="n"/>
    </row>
    <row r="102" ht="15" customHeight="1" s="29">
      <c r="A102" s="43" t="inlineStr">
        <is>
          <t>XSM4328FV</t>
        </is>
      </c>
      <c r="B102" s="43" t="inlineStr">
        <is>
          <t>M4350-24F4V</t>
        </is>
      </c>
      <c r="C102" s="43" t="inlineStr">
        <is>
          <t>XSM4328FV-100AJS</t>
        </is>
      </c>
      <c r="D102" s="43" t="inlineStr">
        <is>
          <t>Asia Pacific</t>
        </is>
      </c>
      <c r="E102" s="43" t="inlineStr">
        <is>
          <t>JP, AU cords</t>
        </is>
      </c>
      <c r="F102" s="43" t="inlineStr">
        <is>
          <t>No</t>
        </is>
      </c>
      <c r="G102" s="43" t="n"/>
    </row>
    <row r="103" ht="15" customHeight="1" s="29">
      <c r="A103" s="43" t="inlineStr">
        <is>
          <t>XSM4328FV</t>
        </is>
      </c>
      <c r="B103" s="43" t="inlineStr">
        <is>
          <t>M4350-24F4V</t>
        </is>
      </c>
      <c r="C103" s="43" t="inlineStr">
        <is>
          <t>XSM4328FV-100PRS</t>
        </is>
      </c>
      <c r="D103" s="43" t="inlineStr">
        <is>
          <t>China</t>
        </is>
      </c>
      <c r="E103" s="43" t="inlineStr">
        <is>
          <t>CN cord</t>
        </is>
      </c>
      <c r="F103" s="43" t="inlineStr">
        <is>
          <t>No</t>
        </is>
      </c>
      <c r="G103" s="43" t="n"/>
    </row>
    <row r="104" ht="15" customHeight="1" s="29">
      <c r="A104" s="43" t="inlineStr">
        <is>
          <t>XSM4340CV</t>
        </is>
      </c>
      <c r="B104" s="43" t="inlineStr">
        <is>
          <t>M4350-36X4V</t>
        </is>
      </c>
      <c r="C104" s="43" t="inlineStr">
        <is>
          <t>XSM4340CV-100NES</t>
        </is>
      </c>
      <c r="D104" s="43" t="inlineStr">
        <is>
          <t>Americas / Europe</t>
        </is>
      </c>
      <c r="E104" s="43" t="inlineStr">
        <is>
          <t>NA, UK, EU cords</t>
        </is>
      </c>
      <c r="F104" s="43" t="inlineStr">
        <is>
          <t>No</t>
        </is>
      </c>
      <c r="G104" s="43" t="n"/>
    </row>
    <row r="105" ht="15" customHeight="1" s="29">
      <c r="A105" s="43" t="inlineStr">
        <is>
          <t>XSM4340CV</t>
        </is>
      </c>
      <c r="B105" s="43" t="inlineStr">
        <is>
          <t>M4350-36X4V</t>
        </is>
      </c>
      <c r="C105" s="43" t="inlineStr">
        <is>
          <t>XSM4340CV-100AJS</t>
        </is>
      </c>
      <c r="D105" s="43" t="inlineStr">
        <is>
          <t>Asia Pacific</t>
        </is>
      </c>
      <c r="E105" s="43" t="inlineStr">
        <is>
          <t>JP, AU cords</t>
        </is>
      </c>
      <c r="F105" s="43" t="inlineStr">
        <is>
          <t>No</t>
        </is>
      </c>
      <c r="G105" s="43" t="n"/>
    </row>
    <row r="106" ht="15" customHeight="1" s="29">
      <c r="A106" s="43" t="inlineStr">
        <is>
          <t>XSM4340CV</t>
        </is>
      </c>
      <c r="B106" s="43" t="inlineStr">
        <is>
          <t>M4350-36X4V</t>
        </is>
      </c>
      <c r="C106" s="43" t="inlineStr">
        <is>
          <t>XSM4340CV-100PRS</t>
        </is>
      </c>
      <c r="D106" s="43" t="inlineStr">
        <is>
          <t>China</t>
        </is>
      </c>
      <c r="E106" s="43" t="inlineStr">
        <is>
          <t>CN cord</t>
        </is>
      </c>
      <c r="F106" s="43" t="inlineStr">
        <is>
          <t>No</t>
        </is>
      </c>
      <c r="G106" s="43" t="n"/>
    </row>
    <row r="107" ht="15" customHeight="1" s="29">
      <c r="A107" s="43" t="inlineStr">
        <is>
          <t>XSM4340V</t>
        </is>
      </c>
      <c r="B107" s="43" t="inlineStr">
        <is>
          <t>M4350-24X8F8V</t>
        </is>
      </c>
      <c r="C107" s="43" t="inlineStr">
        <is>
          <t>XSM4340V-100NES</t>
        </is>
      </c>
      <c r="D107" s="43" t="inlineStr">
        <is>
          <t>Americas / Europe</t>
        </is>
      </c>
      <c r="E107" s="43" t="inlineStr">
        <is>
          <t>NA, UK, EU cords</t>
        </is>
      </c>
      <c r="F107" s="43" t="inlineStr">
        <is>
          <t>No</t>
        </is>
      </c>
      <c r="G107" s="43" t="n"/>
    </row>
    <row r="108" ht="15" customHeight="1" s="29">
      <c r="A108" s="43" t="inlineStr">
        <is>
          <t>XSM4340V</t>
        </is>
      </c>
      <c r="B108" s="43" t="inlineStr">
        <is>
          <t>M4350-24X8F8V</t>
        </is>
      </c>
      <c r="C108" s="43" t="inlineStr">
        <is>
          <t>XSM4340V-TAANES</t>
        </is>
      </c>
      <c r="D108" s="43" t="inlineStr">
        <is>
          <t>Americas (TAA compliant)</t>
        </is>
      </c>
      <c r="E108" s="43" t="inlineStr">
        <is>
          <t>NA, UK, EU cords</t>
        </is>
      </c>
      <c r="F108" s="43" t="inlineStr">
        <is>
          <t>Yes</t>
        </is>
      </c>
      <c r="G108" s="43" t="n"/>
    </row>
    <row r="109" ht="15" customHeight="1" s="29">
      <c r="A109" s="43" t="inlineStr">
        <is>
          <t>XSM4340V</t>
        </is>
      </c>
      <c r="B109" s="43" t="inlineStr">
        <is>
          <t>M4350-24X8F8V</t>
        </is>
      </c>
      <c r="C109" s="43" t="inlineStr">
        <is>
          <t>XSM4340V-100AJS</t>
        </is>
      </c>
      <c r="D109" s="43" t="inlineStr">
        <is>
          <t>Asia Pacific</t>
        </is>
      </c>
      <c r="E109" s="43" t="inlineStr">
        <is>
          <t>JP, AU cords</t>
        </is>
      </c>
      <c r="F109" s="43" t="inlineStr">
        <is>
          <t>No</t>
        </is>
      </c>
      <c r="G109" s="43" t="n"/>
    </row>
    <row r="110" ht="15" customHeight="1" s="29">
      <c r="A110" s="43" t="inlineStr">
        <is>
          <t>XSM4340V</t>
        </is>
      </c>
      <c r="B110" s="43" t="inlineStr">
        <is>
          <t>M4350-24X8F8V</t>
        </is>
      </c>
      <c r="C110" s="43" t="inlineStr">
        <is>
          <t>XSM4340V-100PRS</t>
        </is>
      </c>
      <c r="D110" s="43" t="inlineStr">
        <is>
          <t>China</t>
        </is>
      </c>
      <c r="E110" s="43" t="inlineStr">
        <is>
          <t>CN cord</t>
        </is>
      </c>
      <c r="F110" s="43" t="inlineStr">
        <is>
          <t>No</t>
        </is>
      </c>
      <c r="G110" s="43" t="n"/>
    </row>
    <row r="111" ht="15" customHeight="1" s="29">
      <c r="A111" s="43" t="inlineStr">
        <is>
          <t>XSM4340FV</t>
        </is>
      </c>
      <c r="B111" s="43" t="inlineStr">
        <is>
          <t>M4350-32F8V</t>
        </is>
      </c>
      <c r="C111" s="43" t="inlineStr">
        <is>
          <t>XSM4340FV-100NES</t>
        </is>
      </c>
      <c r="D111" s="43" t="inlineStr">
        <is>
          <t>Americas / Europe</t>
        </is>
      </c>
      <c r="E111" s="43" t="inlineStr">
        <is>
          <t>NA, UK, EU cords</t>
        </is>
      </c>
      <c r="F111" s="43" t="inlineStr">
        <is>
          <t>No</t>
        </is>
      </c>
      <c r="G111" s="43" t="n"/>
    </row>
    <row r="112" ht="15" customHeight="1" s="29">
      <c r="A112" s="43" t="inlineStr">
        <is>
          <t>XSM4340FV</t>
        </is>
      </c>
      <c r="B112" s="43" t="inlineStr">
        <is>
          <t>M4350-32F8V</t>
        </is>
      </c>
      <c r="C112" s="43" t="inlineStr">
        <is>
          <t>XSM4340FV-TAANES</t>
        </is>
      </c>
      <c r="D112" s="43" t="inlineStr">
        <is>
          <t>Americas (TAA compliant)</t>
        </is>
      </c>
      <c r="E112" s="43" t="inlineStr">
        <is>
          <t>NA, UK, EU cords</t>
        </is>
      </c>
      <c r="F112" s="43" t="inlineStr">
        <is>
          <t>Yes</t>
        </is>
      </c>
      <c r="G112" s="43" t="n"/>
    </row>
    <row r="113" ht="15" customHeight="1" s="29">
      <c r="A113" s="43" t="inlineStr">
        <is>
          <t>XSM4340FV</t>
        </is>
      </c>
      <c r="B113" s="43" t="inlineStr">
        <is>
          <t>M4350-32F8V</t>
        </is>
      </c>
      <c r="C113" s="43" t="inlineStr">
        <is>
          <t>XSM4340FV-100AJS</t>
        </is>
      </c>
      <c r="D113" s="43" t="inlineStr">
        <is>
          <t>Asia Pacific</t>
        </is>
      </c>
      <c r="E113" s="43" t="inlineStr">
        <is>
          <t>JP, AU cords</t>
        </is>
      </c>
      <c r="F113" s="43" t="inlineStr">
        <is>
          <t>No</t>
        </is>
      </c>
      <c r="G113" s="43" t="n"/>
    </row>
    <row r="114" ht="15" customHeight="1" s="29">
      <c r="A114" s="43" t="inlineStr">
        <is>
          <t>XSM4340FV</t>
        </is>
      </c>
      <c r="B114" s="43" t="inlineStr">
        <is>
          <t>M4350-32F8V</t>
        </is>
      </c>
      <c r="C114" s="43" t="inlineStr">
        <is>
          <t>XSM4340FV-100PRS</t>
        </is>
      </c>
      <c r="D114" s="43" t="inlineStr">
        <is>
          <t>China</t>
        </is>
      </c>
      <c r="E114" s="43" t="inlineStr">
        <is>
          <t>CN cord</t>
        </is>
      </c>
      <c r="F114" s="43" t="inlineStr">
        <is>
          <t>No</t>
        </is>
      </c>
      <c r="G114" s="43" t="n"/>
    </row>
    <row r="115" ht="15" customHeight="1" s="29">
      <c r="A115" s="43" t="inlineStr">
        <is>
          <t>VSM4320C</t>
        </is>
      </c>
      <c r="B115" s="43" t="inlineStr">
        <is>
          <t>M4350-16V4C</t>
        </is>
      </c>
      <c r="C115" s="43" t="inlineStr">
        <is>
          <t>VSM4320C-100NES</t>
        </is>
      </c>
      <c r="D115" s="43" t="inlineStr">
        <is>
          <t>Americas / Europe</t>
        </is>
      </c>
      <c r="E115" s="43" t="inlineStr">
        <is>
          <t>NA, UK, EU cords</t>
        </is>
      </c>
      <c r="F115" s="43" t="inlineStr">
        <is>
          <t>No</t>
        </is>
      </c>
      <c r="G115" s="43" t="n"/>
    </row>
    <row r="116" ht="15" customHeight="1" s="29">
      <c r="A116" s="43" t="inlineStr">
        <is>
          <t>VSM4320C</t>
        </is>
      </c>
      <c r="B116" s="43" t="inlineStr">
        <is>
          <t>M4350-16V4C</t>
        </is>
      </c>
      <c r="C116" s="43" t="inlineStr">
        <is>
          <t>VSM4320C-TAANES</t>
        </is>
      </c>
      <c r="D116" s="43" t="inlineStr">
        <is>
          <t>Americas (TAA compliant)</t>
        </is>
      </c>
      <c r="E116" s="43" t="inlineStr">
        <is>
          <t>NA, UK, EU cords</t>
        </is>
      </c>
      <c r="F116" s="43" t="inlineStr">
        <is>
          <t>Yes</t>
        </is>
      </c>
      <c r="G116" s="43" t="n"/>
    </row>
    <row r="117" ht="15" customHeight="1" s="29">
      <c r="A117" s="43" t="inlineStr">
        <is>
          <t>VSM4320C</t>
        </is>
      </c>
      <c r="B117" s="43" t="inlineStr">
        <is>
          <t>M4350-16V4C</t>
        </is>
      </c>
      <c r="C117" s="43" t="inlineStr">
        <is>
          <t>VSM4320C-100AJS</t>
        </is>
      </c>
      <c r="D117" s="43" t="inlineStr">
        <is>
          <t>Asia Pacific</t>
        </is>
      </c>
      <c r="E117" s="43" t="inlineStr">
        <is>
          <t>JP, AU cords</t>
        </is>
      </c>
      <c r="F117" s="43" t="inlineStr">
        <is>
          <t>No</t>
        </is>
      </c>
      <c r="G117" s="43" t="n"/>
    </row>
    <row r="118" ht="15" customHeight="1" s="29">
      <c r="A118" s="43" t="inlineStr">
        <is>
          <t>VSM4320C</t>
        </is>
      </c>
      <c r="B118" s="43" t="inlineStr">
        <is>
          <t>M4350-16V4C</t>
        </is>
      </c>
      <c r="C118" s="43" t="inlineStr">
        <is>
          <t>VSM4320C-100PRS</t>
        </is>
      </c>
      <c r="D118" s="43" t="inlineStr">
        <is>
          <t>China</t>
        </is>
      </c>
      <c r="E118" s="43" t="inlineStr">
        <is>
          <t>CN cord</t>
        </is>
      </c>
      <c r="F118" s="43" t="inlineStr">
        <is>
          <t>No</t>
        </is>
      </c>
      <c r="G118" s="43" t="n"/>
    </row>
    <row r="119" ht="15" customHeight="1" s="29">
      <c r="A119" s="43" t="inlineStr">
        <is>
          <t>XSM4344C</t>
        </is>
      </c>
      <c r="B119" s="43" t="inlineStr">
        <is>
          <t>M4350-40X4C</t>
        </is>
      </c>
      <c r="C119" s="43" t="inlineStr">
        <is>
          <t>XSM4344C-100NES</t>
        </is>
      </c>
      <c r="D119" s="43" t="inlineStr">
        <is>
          <t>Americas / Europe</t>
        </is>
      </c>
      <c r="E119" s="43" t="inlineStr">
        <is>
          <t>NA, UK, EU cords</t>
        </is>
      </c>
      <c r="F119" s="43" t="inlineStr">
        <is>
          <t>No</t>
        </is>
      </c>
      <c r="G119" s="43" t="n"/>
    </row>
    <row r="120" ht="15" customHeight="1" s="29">
      <c r="A120" s="43" t="inlineStr">
        <is>
          <t>XSM4344C</t>
        </is>
      </c>
      <c r="B120" s="43" t="inlineStr">
        <is>
          <t>M4350-40X4C</t>
        </is>
      </c>
      <c r="C120" s="43" t="inlineStr">
        <is>
          <t>XSM4344C-TAANES</t>
        </is>
      </c>
      <c r="D120" s="43" t="inlineStr">
        <is>
          <t>Americas (TAA compliant)</t>
        </is>
      </c>
      <c r="E120" s="43" t="inlineStr">
        <is>
          <t>NA, UK, EU cords</t>
        </is>
      </c>
      <c r="F120" s="43" t="inlineStr">
        <is>
          <t>Yes</t>
        </is>
      </c>
      <c r="G120" s="43" t="n"/>
    </row>
    <row r="121" ht="15" customHeight="1" s="29">
      <c r="A121" s="43" t="inlineStr">
        <is>
          <t>XSM4344C</t>
        </is>
      </c>
      <c r="B121" s="43" t="inlineStr">
        <is>
          <t>M4350-40X4C</t>
        </is>
      </c>
      <c r="C121" s="43" t="inlineStr">
        <is>
          <t>XSM4344C-100AJS</t>
        </is>
      </c>
      <c r="D121" s="43" t="inlineStr">
        <is>
          <t>Asia Pacific</t>
        </is>
      </c>
      <c r="E121" s="43" t="inlineStr">
        <is>
          <t>JP, AU cords</t>
        </is>
      </c>
      <c r="F121" s="43" t="inlineStr">
        <is>
          <t>No</t>
        </is>
      </c>
      <c r="G121" s="43" t="n"/>
    </row>
    <row r="122" ht="15" customHeight="1" s="29">
      <c r="A122" s="43" t="inlineStr">
        <is>
          <t>XSM4344C</t>
        </is>
      </c>
      <c r="B122" s="43" t="inlineStr">
        <is>
          <t>M4350-40X4C</t>
        </is>
      </c>
      <c r="C122" s="43" t="inlineStr">
        <is>
          <t>XSM4344C-100PRS</t>
        </is>
      </c>
      <c r="D122" s="43" t="inlineStr">
        <is>
          <t>China</t>
        </is>
      </c>
      <c r="E122" s="43" t="inlineStr">
        <is>
          <t>CN cord</t>
        </is>
      </c>
      <c r="F122" s="43" t="inlineStr">
        <is>
          <t>No</t>
        </is>
      </c>
      <c r="G122" s="43" t="n"/>
    </row>
    <row r="123" ht="15" customHeight="1" s="29">
      <c r="A123" s="43" t="inlineStr">
        <is>
          <t>XSM4344FC</t>
        </is>
      </c>
      <c r="B123" s="43" t="inlineStr">
        <is>
          <t>M4350-40F4C</t>
        </is>
      </c>
      <c r="C123" s="43" t="inlineStr">
        <is>
          <t>XSM4344FC-100NES</t>
        </is>
      </c>
      <c r="D123" s="43" t="inlineStr">
        <is>
          <t>Americas / Europe</t>
        </is>
      </c>
      <c r="E123" s="43" t="inlineStr">
        <is>
          <t>NA, UK, EU cords</t>
        </is>
      </c>
      <c r="F123" s="43" t="inlineStr">
        <is>
          <t>No</t>
        </is>
      </c>
      <c r="G123" s="43" t="n"/>
    </row>
    <row r="124" ht="15" customHeight="1" s="29">
      <c r="A124" s="43" t="inlineStr">
        <is>
          <t>XSM4344FC</t>
        </is>
      </c>
      <c r="B124" s="43" t="inlineStr">
        <is>
          <t>M4350-40F4C</t>
        </is>
      </c>
      <c r="C124" s="43" t="inlineStr">
        <is>
          <t>XSM4344FC-TAANES</t>
        </is>
      </c>
      <c r="D124" s="43" t="inlineStr">
        <is>
          <t>Americas (TAA compliant)</t>
        </is>
      </c>
      <c r="E124" s="43" t="inlineStr">
        <is>
          <t>NA, UK, EU cords</t>
        </is>
      </c>
      <c r="F124" s="43" t="inlineStr">
        <is>
          <t>Yes</t>
        </is>
      </c>
      <c r="G124" s="43" t="n"/>
    </row>
    <row r="125" ht="15" customHeight="1" s="29">
      <c r="A125" s="43" t="inlineStr">
        <is>
          <t>XSM4344FC</t>
        </is>
      </c>
      <c r="B125" s="43" t="inlineStr">
        <is>
          <t>M4350-40F4C</t>
        </is>
      </c>
      <c r="C125" s="43" t="inlineStr">
        <is>
          <t>XSM4344FC-100AJS</t>
        </is>
      </c>
      <c r="D125" s="43" t="inlineStr">
        <is>
          <t>Asia Pacific</t>
        </is>
      </c>
      <c r="E125" s="43" t="inlineStr">
        <is>
          <t>JP, AU cords</t>
        </is>
      </c>
      <c r="F125" s="43" t="inlineStr">
        <is>
          <t>No</t>
        </is>
      </c>
      <c r="G125" s="43" t="n"/>
    </row>
    <row r="126" ht="15" customHeight="1" s="29">
      <c r="A126" s="43" t="inlineStr">
        <is>
          <t>XSM4344FC</t>
        </is>
      </c>
      <c r="B126" s="43" t="inlineStr">
        <is>
          <t>M4350-40F4C</t>
        </is>
      </c>
      <c r="C126" s="43" t="inlineStr">
        <is>
          <t>XSM4344FC-100PRS</t>
        </is>
      </c>
      <c r="D126" s="43" t="inlineStr">
        <is>
          <t>China</t>
        </is>
      </c>
      <c r="E126" s="43" t="inlineStr">
        <is>
          <t>CN cord</t>
        </is>
      </c>
      <c r="F126" s="43" t="inlineStr">
        <is>
          <t>No</t>
        </is>
      </c>
      <c r="G126" s="43" t="n"/>
    </row>
    <row r="127" ht="15" customHeight="1" s="29">
      <c r="A127" s="43" t="inlineStr">
        <is>
          <t>PR460X</t>
        </is>
      </c>
      <c r="B127" s="43" t="inlineStr">
        <is>
          <t>PR460X Pro Router</t>
        </is>
      </c>
      <c r="C127" s="43" t="inlineStr">
        <is>
          <t>PR460X-111NAS</t>
        </is>
      </c>
      <c r="D127" s="43" t="inlineStr">
        <is>
          <t>North America</t>
        </is>
      </c>
      <c r="E127" s="43" t="inlineStr">
        <is>
          <t>Region cord</t>
        </is>
      </c>
      <c r="F127" s="43" t="inlineStr">
        <is>
          <t>No</t>
        </is>
      </c>
      <c r="G127" s="43" t="n"/>
    </row>
    <row r="128" ht="15" customHeight="1" s="29">
      <c r="A128" s="43" t="inlineStr">
        <is>
          <t>PR460X</t>
        </is>
      </c>
      <c r="B128" s="43" t="inlineStr">
        <is>
          <t>PR460X Pro Router</t>
        </is>
      </c>
      <c r="C128" s="43" t="inlineStr">
        <is>
          <t>PR460X-111EUS</t>
        </is>
      </c>
      <c r="D128" s="43" t="inlineStr">
        <is>
          <t>Europe</t>
        </is>
      </c>
      <c r="E128" s="43" t="inlineStr">
        <is>
          <t>Region cord</t>
        </is>
      </c>
      <c r="F128" s="43" t="inlineStr">
        <is>
          <t>No</t>
        </is>
      </c>
      <c r="G128" s="43" t="n"/>
    </row>
    <row r="129" ht="15" customHeight="1" s="29">
      <c r="A129" s="43" t="inlineStr">
        <is>
          <t>PR460X</t>
        </is>
      </c>
      <c r="B129" s="43" t="inlineStr">
        <is>
          <t>PR460X Pro Router</t>
        </is>
      </c>
      <c r="C129" s="43" t="inlineStr">
        <is>
          <t>PR460X-111AUS</t>
        </is>
      </c>
      <c r="D129" s="43" t="inlineStr">
        <is>
          <t>Australia &amp; NZ</t>
        </is>
      </c>
      <c r="E129" s="43" t="inlineStr">
        <is>
          <t>Region cord</t>
        </is>
      </c>
      <c r="F129" s="43" t="inlineStr">
        <is>
          <t>No</t>
        </is>
      </c>
      <c r="G129" s="43" t="n"/>
    </row>
    <row r="130" ht="15" customHeight="1" s="29">
      <c r="A130" s="43" t="inlineStr">
        <is>
          <t>PR460X</t>
        </is>
      </c>
      <c r="B130" s="43" t="inlineStr">
        <is>
          <t>PR460X Pro Router</t>
        </is>
      </c>
      <c r="C130" s="43" t="inlineStr">
        <is>
          <t>PR460X-111INS</t>
        </is>
      </c>
      <c r="D130" s="43" t="inlineStr">
        <is>
          <t>India</t>
        </is>
      </c>
      <c r="E130" s="43" t="inlineStr">
        <is>
          <t>Region cord</t>
        </is>
      </c>
      <c r="F130" s="43" t="inlineStr">
        <is>
          <t>No</t>
        </is>
      </c>
      <c r="G130" s="43" t="n"/>
    </row>
    <row r="131" ht="15" customHeight="1" s="29">
      <c r="A131" s="43" t="inlineStr">
        <is>
          <t>PR460X</t>
        </is>
      </c>
      <c r="B131" s="43" t="inlineStr">
        <is>
          <t>PR460X Pro Router</t>
        </is>
      </c>
      <c r="C131" s="43" t="inlineStr">
        <is>
          <t>PR460X-111JPS</t>
        </is>
      </c>
      <c r="D131" s="43" t="inlineStr">
        <is>
          <t>Japan</t>
        </is>
      </c>
      <c r="E131" s="43" t="inlineStr">
        <is>
          <t>Region cord</t>
        </is>
      </c>
      <c r="F131" s="43" t="inlineStr">
        <is>
          <t>No</t>
        </is>
      </c>
      <c r="G131" s="43" t="n"/>
    </row>
    <row r="132" ht="15" customHeight="1" s="29">
      <c r="A132" s="43" t="inlineStr">
        <is>
          <t>PR460X</t>
        </is>
      </c>
      <c r="B132" s="43" t="inlineStr">
        <is>
          <t>PR460X Pro Router</t>
        </is>
      </c>
      <c r="C132" s="43" t="inlineStr">
        <is>
          <t>PR460X-111KOS</t>
        </is>
      </c>
      <c r="D132" s="43" t="inlineStr">
        <is>
          <t>South Korea</t>
        </is>
      </c>
      <c r="E132" s="43" t="inlineStr">
        <is>
          <t>Region cord</t>
        </is>
      </c>
      <c r="F132" s="43" t="inlineStr">
        <is>
          <t>No</t>
        </is>
      </c>
      <c r="G132" s="43" t="n"/>
    </row>
    <row r="133" ht="15" customHeight="1" s="29">
      <c r="A133" s="43" t="inlineStr">
        <is>
          <t>PR460X</t>
        </is>
      </c>
      <c r="B133" s="43" t="inlineStr">
        <is>
          <t>PR460X Pro Router</t>
        </is>
      </c>
      <c r="C133" s="43" t="inlineStr">
        <is>
          <t>PR460X-111TWS</t>
        </is>
      </c>
      <c r="D133" s="43" t="inlineStr">
        <is>
          <t>Taiwan</t>
        </is>
      </c>
      <c r="E133" s="43" t="inlineStr">
        <is>
          <t>Region cord</t>
        </is>
      </c>
      <c r="F133" s="43" t="inlineStr">
        <is>
          <t>No</t>
        </is>
      </c>
      <c r="G133" s="43" t="n"/>
    </row>
    <row r="134" ht="15" customHeight="1" s="29">
      <c r="A134" s="43" t="inlineStr">
        <is>
          <t>PR460X</t>
        </is>
      </c>
      <c r="B134" s="43" t="inlineStr">
        <is>
          <t>PR460X Pro Router</t>
        </is>
      </c>
      <c r="C134" s="43" t="inlineStr">
        <is>
          <t>PR460X-111UKS</t>
        </is>
      </c>
      <c r="D134" s="43" t="inlineStr">
        <is>
          <t>HK, Singapore &amp; Middle East</t>
        </is>
      </c>
      <c r="E134" s="43" t="inlineStr">
        <is>
          <t>Region cord</t>
        </is>
      </c>
      <c r="F134" s="43" t="inlineStr">
        <is>
          <t>No</t>
        </is>
      </c>
      <c r="G134" s="43" t="n"/>
    </row>
    <row r="135" ht="15" customHeight="1" s="29">
      <c r="A135" s="43" t="inlineStr">
        <is>
          <t>PR460X</t>
        </is>
      </c>
      <c r="B135" s="43" t="inlineStr">
        <is>
          <t>PR460X Pro Router</t>
        </is>
      </c>
      <c r="C135" s="43" t="inlineStr">
        <is>
          <t>PR460X-111PRS</t>
        </is>
      </c>
      <c r="D135" s="43" t="inlineStr">
        <is>
          <t>China</t>
        </is>
      </c>
      <c r="E135" s="43" t="inlineStr">
        <is>
          <t>Region cord</t>
        </is>
      </c>
      <c r="F135" s="43" t="inlineStr">
        <is>
          <t>No</t>
        </is>
      </c>
      <c r="G135" s="43" t="n"/>
    </row>
    <row r="136" ht="15" customHeight="1" s="29">
      <c r="A136" s="43" t="inlineStr">
        <is>
          <t>PR460X</t>
        </is>
      </c>
      <c r="B136" s="43" t="inlineStr">
        <is>
          <t>PR460X Pro Router</t>
        </is>
      </c>
      <c r="C136" s="43" t="inlineStr">
        <is>
          <t>PR460X-111PES</t>
        </is>
      </c>
      <c r="D136" s="43" t="inlineStr">
        <is>
          <t>Other APAC</t>
        </is>
      </c>
      <c r="E136" s="43" t="inlineStr">
        <is>
          <t>Region cord</t>
        </is>
      </c>
      <c r="F136" s="43" t="inlineStr">
        <is>
          <t>No</t>
        </is>
      </c>
      <c r="G136" s="43" t="n"/>
    </row>
    <row r="137" ht="15" customHeight="1" s="29">
      <c r="A137" s="43" t="inlineStr">
        <is>
          <t>WBE718</t>
        </is>
      </c>
      <c r="B137" s="43" t="inlineStr">
        <is>
          <t>WBE718 WiFi 7 AP</t>
        </is>
      </c>
      <c r="C137" s="43" t="inlineStr">
        <is>
          <t>WBE718-100NAS</t>
        </is>
      </c>
      <c r="D137" s="43" t="inlineStr">
        <is>
          <t>North America</t>
        </is>
      </c>
      <c r="E137" s="43" t="inlineStr">
        <is>
          <t>Adapter not incl.</t>
        </is>
      </c>
      <c r="F137" s="43" t="inlineStr">
        <is>
          <t>No</t>
        </is>
      </c>
      <c r="G137" s="43" t="n"/>
    </row>
    <row r="138" ht="15" customHeight="1" s="29">
      <c r="A138" s="43" t="inlineStr">
        <is>
          <t>WBE718</t>
        </is>
      </c>
      <c r="B138" s="43" t="inlineStr">
        <is>
          <t>WBE718 WiFi 7 AP</t>
        </is>
      </c>
      <c r="C138" s="43" t="inlineStr">
        <is>
          <t>WBE718-100EUS</t>
        </is>
      </c>
      <c r="D138" s="43" t="inlineStr">
        <is>
          <t>Europe</t>
        </is>
      </c>
      <c r="E138" s="43" t="inlineStr">
        <is>
          <t>Adapter not incl.</t>
        </is>
      </c>
      <c r="F138" s="43" t="inlineStr">
        <is>
          <t>No</t>
        </is>
      </c>
      <c r="G138" s="43" t="n"/>
    </row>
    <row r="139" ht="15" customHeight="1" s="29">
      <c r="A139" s="43" t="inlineStr">
        <is>
          <t>WBE758</t>
        </is>
      </c>
      <c r="B139" s="43" t="inlineStr">
        <is>
          <t>WBE758 WiFi 7 AP</t>
        </is>
      </c>
      <c r="C139" s="43" t="inlineStr">
        <is>
          <t>WBE758-111NAS</t>
        </is>
      </c>
      <c r="D139" s="43" t="inlineStr">
        <is>
          <t>US</t>
        </is>
      </c>
      <c r="E139" s="43" t="inlineStr">
        <is>
          <t>Adapter not incl.</t>
        </is>
      </c>
      <c r="F139" s="43" t="inlineStr">
        <is>
          <t>No</t>
        </is>
      </c>
      <c r="G139" s="43" t="n"/>
    </row>
    <row r="140" ht="15" customHeight="1" s="29">
      <c r="A140" s="43" t="inlineStr">
        <is>
          <t>WBE758</t>
        </is>
      </c>
      <c r="B140" s="43" t="inlineStr">
        <is>
          <t>WBE758 WiFi 7 AP</t>
        </is>
      </c>
      <c r="C140" s="43" t="inlineStr">
        <is>
          <t>WBE758-111EUS</t>
        </is>
      </c>
      <c r="D140" s="43" t="inlineStr">
        <is>
          <t>Europe</t>
        </is>
      </c>
      <c r="E140" s="43" t="inlineStr">
        <is>
          <t>Adapter not incl.</t>
        </is>
      </c>
      <c r="F140" s="43" t="inlineStr">
        <is>
          <t>No</t>
        </is>
      </c>
      <c r="G140" s="43" t="n"/>
    </row>
    <row r="141" ht="15" customHeight="1" s="29">
      <c r="A141" s="43" t="inlineStr">
        <is>
          <t>WBE758</t>
        </is>
      </c>
      <c r="B141" s="43" t="inlineStr">
        <is>
          <t>WBE758 WiFi 7 AP</t>
        </is>
      </c>
      <c r="C141" s="43" t="inlineStr">
        <is>
          <t>WBE758-111APS</t>
        </is>
      </c>
      <c r="D141" s="43" t="inlineStr">
        <is>
          <t>Asia Pacific</t>
        </is>
      </c>
      <c r="E141" s="43" t="inlineStr">
        <is>
          <t>Adapter not incl.</t>
        </is>
      </c>
      <c r="F141" s="43" t="inlineStr">
        <is>
          <t>No</t>
        </is>
      </c>
      <c r="G141" s="43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28" min="1" max="1"/>
    <col width="14" customWidth="1" style="28" min="2" max="2"/>
    <col width="12" customWidth="1" style="28" min="3" max="3"/>
    <col width="40" customWidth="1" style="28" min="4" max="4"/>
    <col width="9" customWidth="1" style="28" min="5" max="5"/>
    <col width="8" customWidth="1" style="28" min="6" max="6"/>
    <col width="11" customWidth="1" style="28" min="7" max="7"/>
    <col width="10" customWidth="1" style="28" min="8" max="8"/>
    <col width="8" customWidth="1" style="28" min="9" max="9"/>
    <col width="26" customWidth="1" style="28" min="10" max="10"/>
    <col width="9" customWidth="1" style="28" min="11" max="12"/>
    <col width="14" customWidth="1" style="28" min="13" max="13"/>
    <col width="8" customWidth="1" style="28" min="14" max="15"/>
    <col width="30" customWidth="1" style="28" min="16" max="16"/>
    <col width="34" customWidth="1" style="28" min="17" max="17"/>
  </cols>
  <sheetData>
    <row r="1" ht="30" customHeight="1" s="29">
      <c r="A1" s="30" t="inlineStr">
        <is>
          <t>Accessories, PSUs, Optics, Cables, Licenses &amp; Support</t>
        </is>
      </c>
    </row>
    <row r="2" ht="15" customHeight="1" s="29">
      <c r="A2" s="31" t="inlineStr">
        <is>
          <t>Base_Model groups variants (e.g. cord options). Compatibility sheet maps Base_Model to products.</t>
        </is>
      </c>
    </row>
    <row r="4" ht="31.5" customHeight="1" s="29">
      <c r="A4" s="42" t="inlineStr">
        <is>
          <t>Orderable_SKU</t>
        </is>
      </c>
      <c r="B4" s="42" t="inlineStr">
        <is>
          <t>Base_Model</t>
        </is>
      </c>
      <c r="C4" s="42" t="inlineStr">
        <is>
          <t>Category</t>
        </is>
      </c>
      <c r="D4" s="42" t="inlineStr">
        <is>
          <t>Description</t>
        </is>
      </c>
      <c r="E4" s="42" t="inlineStr">
        <is>
          <t>Form_Factor</t>
        </is>
      </c>
      <c r="F4" s="42" t="inlineStr">
        <is>
          <t>Speed_Gbps</t>
        </is>
      </c>
      <c r="G4" s="42" t="inlineStr">
        <is>
          <t>Media</t>
        </is>
      </c>
      <c r="H4" s="42" t="inlineStr">
        <is>
          <t>Connector</t>
        </is>
      </c>
      <c r="I4" s="42" t="inlineStr">
        <is>
          <t>Reach_m</t>
        </is>
      </c>
      <c r="J4" s="42" t="inlineStr">
        <is>
          <t>Fiber_Notes</t>
        </is>
      </c>
      <c r="K4" s="42" t="inlineStr">
        <is>
          <t>Output_W_110VAC</t>
        </is>
      </c>
      <c r="L4" s="42" t="inlineStr">
        <is>
          <t>Output_W_220VAC</t>
        </is>
      </c>
      <c r="M4" s="42" t="inlineStr">
        <is>
          <t>Power_Cord</t>
        </is>
      </c>
      <c r="N4" s="42" t="inlineStr">
        <is>
          <t>Term_Months</t>
        </is>
      </c>
      <c r="O4" s="42" t="inlineStr">
        <is>
          <t>Warranty</t>
        </is>
      </c>
      <c r="P4" s="42" t="inlineStr">
        <is>
          <t>Source</t>
        </is>
      </c>
      <c r="Q4" s="42" t="inlineStr">
        <is>
          <t>Notes</t>
        </is>
      </c>
    </row>
    <row r="5" ht="15" customHeight="1" s="29">
      <c r="A5" s="43" t="inlineStr">
        <is>
          <t>AGM731F</t>
        </is>
      </c>
      <c r="B5" s="43" t="inlineStr">
        <is>
          <t>AGM731F</t>
        </is>
      </c>
      <c r="C5" s="43" t="inlineStr">
        <is>
          <t>Optic</t>
        </is>
      </c>
      <c r="D5" s="43" t="inlineStr">
        <is>
          <t>1000BASE-SX SFP, multimode</t>
        </is>
      </c>
      <c r="E5" s="43" t="inlineStr">
        <is>
          <t>SFP</t>
        </is>
      </c>
      <c r="F5" s="43" t="n">
        <v>1</v>
      </c>
      <c r="G5" s="43" t="inlineStr">
        <is>
          <t>MMF</t>
        </is>
      </c>
      <c r="H5" s="43" t="inlineStr">
        <is>
          <t>LC duplex</t>
        </is>
      </c>
      <c r="I5" s="43" t="n">
        <v>550</v>
      </c>
      <c r="J5" s="43" t="inlineStr">
        <is>
          <t>OM1/OM2 275m; OM3 550m; OM4 1,000m</t>
        </is>
      </c>
      <c r="K5" s="43" t="n"/>
      <c r="L5" s="43" t="n"/>
      <c r="M5" s="43" t="n"/>
      <c r="N5" s="43" t="n"/>
      <c r="O5" s="43" t="inlineStr">
        <is>
          <t>5 yr</t>
        </is>
      </c>
      <c r="P5" s="43" t="inlineStr">
        <is>
          <t>M4250 + M4350 datasheets</t>
        </is>
      </c>
      <c r="Q5" s="43" t="n"/>
    </row>
    <row r="6" ht="15" customHeight="1" s="29">
      <c r="A6" s="43" t="inlineStr">
        <is>
          <t>AGM732F</t>
        </is>
      </c>
      <c r="B6" s="43" t="inlineStr">
        <is>
          <t>AGM732F</t>
        </is>
      </c>
      <c r="C6" s="43" t="inlineStr">
        <is>
          <t>Optic</t>
        </is>
      </c>
      <c r="D6" s="43" t="inlineStr">
        <is>
          <t>1000BASE-LX SFP, single mode</t>
        </is>
      </c>
      <c r="E6" s="43" t="inlineStr">
        <is>
          <t>SFP</t>
        </is>
      </c>
      <c r="F6" s="43" t="n">
        <v>1</v>
      </c>
      <c r="G6" s="43" t="inlineStr">
        <is>
          <t>SMF</t>
        </is>
      </c>
      <c r="H6" s="43" t="inlineStr">
        <is>
          <t>LC duplex</t>
        </is>
      </c>
      <c r="I6" s="43" t="n">
        <v>10000</v>
      </c>
      <c r="J6" s="43" t="inlineStr">
        <is>
          <t>OS 9/125um</t>
        </is>
      </c>
      <c r="K6" s="43" t="n"/>
      <c r="L6" s="43" t="n"/>
      <c r="M6" s="43" t="n"/>
      <c r="N6" s="43" t="n"/>
      <c r="O6" s="43" t="inlineStr">
        <is>
          <t>5 yr</t>
        </is>
      </c>
      <c r="P6" s="43" t="inlineStr">
        <is>
          <t>M4250 + M4350 datasheets</t>
        </is>
      </c>
      <c r="Q6" s="43" t="n"/>
    </row>
    <row r="7" ht="23.85" customHeight="1" s="29">
      <c r="A7" s="43" t="inlineStr">
        <is>
          <t>AGM734-10000S</t>
        </is>
      </c>
      <c r="B7" s="43" t="inlineStr">
        <is>
          <t>AGM734</t>
        </is>
      </c>
      <c r="C7" s="43" t="inlineStr">
        <is>
          <t>Optic</t>
        </is>
      </c>
      <c r="D7" s="51" t="inlineStr">
        <is>
          <t>1000BASE-T RJ45 SFP (1000 Mbps full duplex only)</t>
        </is>
      </c>
      <c r="E7" s="43" t="inlineStr">
        <is>
          <t>SFP</t>
        </is>
      </c>
      <c r="F7" s="43" t="n">
        <v>1</v>
      </c>
      <c r="G7" s="43" t="inlineStr">
        <is>
          <t>Copper</t>
        </is>
      </c>
      <c r="H7" s="43" t="inlineStr">
        <is>
          <t>RJ45</t>
        </is>
      </c>
      <c r="I7" s="43" t="n">
        <v>100</v>
      </c>
      <c r="J7" s="43" t="inlineStr">
        <is>
          <t>Cat5 or better</t>
        </is>
      </c>
      <c r="K7" s="43" t="n"/>
      <c r="L7" s="43" t="n"/>
      <c r="M7" s="43" t="n"/>
      <c r="N7" s="43" t="n"/>
      <c r="O7" s="43" t="inlineStr">
        <is>
          <t>5 yr</t>
        </is>
      </c>
      <c r="P7" s="43" t="inlineStr">
        <is>
          <t>M4250 + M4350 datasheets</t>
        </is>
      </c>
      <c r="Q7" s="43" t="inlineStr">
        <is>
          <t>M4250-16XF: ports 1-12 only</t>
        </is>
      </c>
    </row>
    <row r="8" ht="15" customHeight="1" s="29">
      <c r="A8" s="43" t="inlineStr">
        <is>
          <t>AXM761-10000S</t>
        </is>
      </c>
      <c r="B8" s="43" t="inlineStr">
        <is>
          <t>AXM761</t>
        </is>
      </c>
      <c r="C8" s="43" t="inlineStr">
        <is>
          <t>Optic</t>
        </is>
      </c>
      <c r="D8" s="43" t="inlineStr">
        <is>
          <t>10GBASE-SR SFP+, multimode</t>
        </is>
      </c>
      <c r="E8" s="43" t="inlineStr">
        <is>
          <t>SFP+</t>
        </is>
      </c>
      <c r="F8" s="43" t="n">
        <v>10</v>
      </c>
      <c r="G8" s="43" t="inlineStr">
        <is>
          <t>MMF</t>
        </is>
      </c>
      <c r="H8" s="43" t="inlineStr">
        <is>
          <t>LC duplex</t>
        </is>
      </c>
      <c r="I8" s="43" t="n">
        <v>300</v>
      </c>
      <c r="J8" s="43" t="inlineStr">
        <is>
          <t>OM3/OM4 300m; OM1/OM2 33m</t>
        </is>
      </c>
      <c r="K8" s="43" t="n"/>
      <c r="L8" s="43" t="n"/>
      <c r="M8" s="43" t="n"/>
      <c r="N8" s="43" t="n"/>
      <c r="O8" s="43" t="inlineStr">
        <is>
          <t>5 yr</t>
        </is>
      </c>
      <c r="P8" s="43" t="inlineStr">
        <is>
          <t>M4250 + M4350 datasheets</t>
        </is>
      </c>
      <c r="Q8" s="43" t="n"/>
    </row>
    <row r="9" ht="15" customHeight="1" s="29">
      <c r="A9" s="43" t="inlineStr">
        <is>
          <t>AXM761P10-10000S</t>
        </is>
      </c>
      <c r="B9" s="43" t="inlineStr">
        <is>
          <t>AXM761</t>
        </is>
      </c>
      <c r="C9" s="43" t="inlineStr">
        <is>
          <t>Optic</t>
        </is>
      </c>
      <c r="D9" s="43" t="inlineStr">
        <is>
          <t>10GBASE-SR SFP+, pack of 10</t>
        </is>
      </c>
      <c r="E9" s="43" t="inlineStr">
        <is>
          <t>SFP+</t>
        </is>
      </c>
      <c r="F9" s="43" t="n">
        <v>10</v>
      </c>
      <c r="G9" s="43" t="inlineStr">
        <is>
          <t>MMF</t>
        </is>
      </c>
      <c r="H9" s="43" t="inlineStr">
        <is>
          <t>LC duplex</t>
        </is>
      </c>
      <c r="I9" s="43" t="n">
        <v>300</v>
      </c>
      <c r="J9" s="43" t="inlineStr">
        <is>
          <t>OM3/OM4 300m; OM1/OM2 33m</t>
        </is>
      </c>
      <c r="K9" s="43" t="n"/>
      <c r="L9" s="43" t="n"/>
      <c r="M9" s="43" t="n"/>
      <c r="N9" s="43" t="n"/>
      <c r="O9" s="43" t="inlineStr">
        <is>
          <t>5 yr</t>
        </is>
      </c>
      <c r="P9" s="43" t="inlineStr">
        <is>
          <t>M4250 + M4350 datasheets</t>
        </is>
      </c>
      <c r="Q9" s="43" t="inlineStr">
        <is>
          <t>Qty 10 per SKU</t>
        </is>
      </c>
    </row>
    <row r="10" ht="15" customHeight="1" s="29">
      <c r="A10" s="43" t="inlineStr">
        <is>
          <t>AXM762-10000S</t>
        </is>
      </c>
      <c r="B10" s="43" t="inlineStr">
        <is>
          <t>AXM762</t>
        </is>
      </c>
      <c r="C10" s="43" t="inlineStr">
        <is>
          <t>Optic</t>
        </is>
      </c>
      <c r="D10" s="43" t="inlineStr">
        <is>
          <t>10GBASE-LR SFP+, single mode</t>
        </is>
      </c>
      <c r="E10" s="43" t="inlineStr">
        <is>
          <t>SFP+</t>
        </is>
      </c>
      <c r="F10" s="43" t="n">
        <v>10</v>
      </c>
      <c r="G10" s="43" t="inlineStr">
        <is>
          <t>SMF</t>
        </is>
      </c>
      <c r="H10" s="43" t="inlineStr">
        <is>
          <t>LC duplex</t>
        </is>
      </c>
      <c r="I10" s="43" t="n">
        <v>10000</v>
      </c>
      <c r="J10" s="43" t="inlineStr">
        <is>
          <t>OS 9/125um</t>
        </is>
      </c>
      <c r="K10" s="43" t="n"/>
      <c r="L10" s="43" t="n"/>
      <c r="M10" s="43" t="n"/>
      <c r="N10" s="43" t="n"/>
      <c r="O10" s="43" t="inlineStr">
        <is>
          <t>5 yr</t>
        </is>
      </c>
      <c r="P10" s="43" t="inlineStr">
        <is>
          <t>M4250 + M4350 datasheets</t>
        </is>
      </c>
      <c r="Q10" s="43" t="n"/>
    </row>
    <row r="11" ht="15" customHeight="1" s="29">
      <c r="A11" s="43" t="inlineStr">
        <is>
          <t>AXM762P10-10000S</t>
        </is>
      </c>
      <c r="B11" s="43" t="inlineStr">
        <is>
          <t>AXM762</t>
        </is>
      </c>
      <c r="C11" s="43" t="inlineStr">
        <is>
          <t>Optic</t>
        </is>
      </c>
      <c r="D11" s="43" t="inlineStr">
        <is>
          <t>10GBASE-LR SFP+, pack of 10</t>
        </is>
      </c>
      <c r="E11" s="43" t="inlineStr">
        <is>
          <t>SFP+</t>
        </is>
      </c>
      <c r="F11" s="43" t="n">
        <v>10</v>
      </c>
      <c r="G11" s="43" t="inlineStr">
        <is>
          <t>SMF</t>
        </is>
      </c>
      <c r="H11" s="43" t="inlineStr">
        <is>
          <t>LC duplex</t>
        </is>
      </c>
      <c r="I11" s="43" t="n">
        <v>10000</v>
      </c>
      <c r="J11" s="43" t="inlineStr">
        <is>
          <t>OS 9/125um</t>
        </is>
      </c>
      <c r="K11" s="43" t="n"/>
      <c r="L11" s="43" t="n"/>
      <c r="M11" s="43" t="n"/>
      <c r="N11" s="43" t="n"/>
      <c r="O11" s="43" t="inlineStr">
        <is>
          <t>5 yr</t>
        </is>
      </c>
      <c r="P11" s="43" t="inlineStr">
        <is>
          <t>M4250 + M4350 datasheets</t>
        </is>
      </c>
      <c r="Q11" s="43" t="inlineStr">
        <is>
          <t>Qty 10 per SKU</t>
        </is>
      </c>
    </row>
    <row r="12" ht="15" customHeight="1" s="29">
      <c r="A12" s="43" t="inlineStr">
        <is>
          <t>AXM763-10000S</t>
        </is>
      </c>
      <c r="B12" s="43" t="inlineStr">
        <is>
          <t>AXM763</t>
        </is>
      </c>
      <c r="C12" s="43" t="inlineStr">
        <is>
          <t>Optic</t>
        </is>
      </c>
      <c r="D12" s="43" t="inlineStr">
        <is>
          <t>10GBASE-LRM SFP+, multimode (802.3aq)</t>
        </is>
      </c>
      <c r="E12" s="43" t="inlineStr">
        <is>
          <t>SFP+</t>
        </is>
      </c>
      <c r="F12" s="43" t="n">
        <v>10</v>
      </c>
      <c r="G12" s="43" t="inlineStr">
        <is>
          <t>MMF</t>
        </is>
      </c>
      <c r="H12" s="43" t="inlineStr">
        <is>
          <t>LC duplex</t>
        </is>
      </c>
      <c r="I12" s="43" t="n">
        <v>165</v>
      </c>
      <c r="J12" s="43" t="inlineStr">
        <is>
          <t>OM3/OM4 165m; OM1/OM2 100m</t>
        </is>
      </c>
      <c r="K12" s="43" t="n"/>
      <c r="L12" s="43" t="n"/>
      <c r="M12" s="43" t="n"/>
      <c r="N12" s="43" t="n"/>
      <c r="O12" s="43" t="inlineStr">
        <is>
          <t>5 yr</t>
        </is>
      </c>
      <c r="P12" s="43" t="inlineStr">
        <is>
          <t>M4250 + M4350 datasheets</t>
        </is>
      </c>
      <c r="Q12" s="43" t="n"/>
    </row>
    <row r="13" ht="15" customHeight="1" s="29">
      <c r="A13" s="43" t="inlineStr">
        <is>
          <t>AXM764-10000S</t>
        </is>
      </c>
      <c r="B13" s="43" t="inlineStr">
        <is>
          <t>AXM764</t>
        </is>
      </c>
      <c r="C13" s="43" t="inlineStr">
        <is>
          <t>Optic</t>
        </is>
      </c>
      <c r="D13" s="43" t="inlineStr">
        <is>
          <t>10GBASE-LR LITE SFP+, single mode</t>
        </is>
      </c>
      <c r="E13" s="43" t="inlineStr">
        <is>
          <t>SFP+</t>
        </is>
      </c>
      <c r="F13" s="43" t="n">
        <v>10</v>
      </c>
      <c r="G13" s="43" t="inlineStr">
        <is>
          <t>SMF</t>
        </is>
      </c>
      <c r="H13" s="43" t="inlineStr">
        <is>
          <t>LC duplex</t>
        </is>
      </c>
      <c r="I13" s="43" t="n">
        <v>2000</v>
      </c>
      <c r="J13" s="43" t="inlineStr">
        <is>
          <t>OS 9/125um</t>
        </is>
      </c>
      <c r="K13" s="43" t="n"/>
      <c r="L13" s="43" t="n"/>
      <c r="M13" s="43" t="n"/>
      <c r="N13" s="43" t="n"/>
      <c r="O13" s="43" t="inlineStr">
        <is>
          <t>5 yr</t>
        </is>
      </c>
      <c r="P13" s="43" t="inlineStr">
        <is>
          <t>M4250 + M4350 datasheets</t>
        </is>
      </c>
      <c r="Q13" s="43" t="n"/>
    </row>
    <row r="14" ht="15" customHeight="1" s="29">
      <c r="A14" s="43" t="inlineStr">
        <is>
          <t>AXM765-20000S</t>
        </is>
      </c>
      <c r="B14" s="43" t="inlineStr">
        <is>
          <t>AXM765</t>
        </is>
      </c>
      <c r="C14" s="43" t="inlineStr">
        <is>
          <t>Optic</t>
        </is>
      </c>
      <c r="D14" s="43" t="inlineStr">
        <is>
          <t>10GBASE-T RJ45 SFP+</t>
        </is>
      </c>
      <c r="E14" s="43" t="inlineStr">
        <is>
          <t>SFP+</t>
        </is>
      </c>
      <c r="F14" s="43" t="n">
        <v>10</v>
      </c>
      <c r="G14" s="43" t="inlineStr">
        <is>
          <t>Copper</t>
        </is>
      </c>
      <c r="H14" s="43" t="inlineStr">
        <is>
          <t>RJ45</t>
        </is>
      </c>
      <c r="I14" s="43" t="n">
        <v>80</v>
      </c>
      <c r="J14" s="43" t="inlineStr">
        <is>
          <t>Cat6a or better</t>
        </is>
      </c>
      <c r="K14" s="43" t="n"/>
      <c r="L14" s="43" t="n"/>
      <c r="M14" s="43" t="n"/>
      <c r="N14" s="43" t="n"/>
      <c r="O14" s="43" t="inlineStr">
        <is>
          <t>5 yr</t>
        </is>
      </c>
      <c r="P14" s="43" t="inlineStr">
        <is>
          <t>M4250 + M4350 datasheets</t>
        </is>
      </c>
      <c r="Q14" s="43" t="n"/>
    </row>
    <row r="15" ht="15" customHeight="1" s="29">
      <c r="A15" s="43" t="inlineStr">
        <is>
          <t>AXC761-10000S</t>
        </is>
      </c>
      <c r="B15" s="43" t="inlineStr">
        <is>
          <t>AXC761</t>
        </is>
      </c>
      <c r="C15" s="43" t="inlineStr">
        <is>
          <t>DAC</t>
        </is>
      </c>
      <c r="D15" s="43" t="inlineStr">
        <is>
          <t>10G SFP+ DAC 1m, passive copper</t>
        </is>
      </c>
      <c r="E15" s="43" t="inlineStr">
        <is>
          <t>SFP+</t>
        </is>
      </c>
      <c r="F15" s="43" t="n">
        <v>10</v>
      </c>
      <c r="G15" s="43" t="inlineStr">
        <is>
          <t>DAC passive</t>
        </is>
      </c>
      <c r="H15" s="43" t="inlineStr">
        <is>
          <t>SFP+</t>
        </is>
      </c>
      <c r="I15" s="43" t="n">
        <v>1</v>
      </c>
      <c r="J15" s="43" t="n"/>
      <c r="K15" s="43" t="n"/>
      <c r="L15" s="43" t="n"/>
      <c r="M15" s="43" t="n"/>
      <c r="N15" s="43" t="n"/>
      <c r="O15" s="43" t="inlineStr">
        <is>
          <t>5 yr</t>
        </is>
      </c>
      <c r="P15" s="43" t="inlineStr">
        <is>
          <t>M4250 + M4350 datasheets</t>
        </is>
      </c>
      <c r="Q15" s="43" t="n"/>
    </row>
    <row r="16" ht="15" customHeight="1" s="29">
      <c r="A16" s="43" t="inlineStr">
        <is>
          <t>AXC763-10000S</t>
        </is>
      </c>
      <c r="B16" s="43" t="inlineStr">
        <is>
          <t>AXC763</t>
        </is>
      </c>
      <c r="C16" s="43" t="inlineStr">
        <is>
          <t>DAC</t>
        </is>
      </c>
      <c r="D16" s="43" t="inlineStr">
        <is>
          <t>10G SFP+ DAC 3m, passive copper</t>
        </is>
      </c>
      <c r="E16" s="43" t="inlineStr">
        <is>
          <t>SFP+</t>
        </is>
      </c>
      <c r="F16" s="43" t="n">
        <v>10</v>
      </c>
      <c r="G16" s="43" t="inlineStr">
        <is>
          <t>DAC passive</t>
        </is>
      </c>
      <c r="H16" s="43" t="inlineStr">
        <is>
          <t>SFP+</t>
        </is>
      </c>
      <c r="I16" s="43" t="n">
        <v>3</v>
      </c>
      <c r="J16" s="43" t="n"/>
      <c r="K16" s="43" t="n"/>
      <c r="L16" s="43" t="n"/>
      <c r="M16" s="43" t="n"/>
      <c r="N16" s="43" t="n"/>
      <c r="O16" s="43" t="inlineStr">
        <is>
          <t>5 yr</t>
        </is>
      </c>
      <c r="P16" s="43" t="inlineStr">
        <is>
          <t>M4250 + M4350 datasheets</t>
        </is>
      </c>
      <c r="Q16" s="43" t="n"/>
    </row>
    <row r="17" ht="15" customHeight="1" s="29">
      <c r="A17" s="43" t="inlineStr">
        <is>
          <t>AXC765-10000S</t>
        </is>
      </c>
      <c r="B17" s="43" t="inlineStr">
        <is>
          <t>AXC765</t>
        </is>
      </c>
      <c r="C17" s="43" t="inlineStr">
        <is>
          <t>DAC</t>
        </is>
      </c>
      <c r="D17" s="43" t="inlineStr">
        <is>
          <t>10G SFP+ DAC 5m, active copper</t>
        </is>
      </c>
      <c r="E17" s="43" t="inlineStr">
        <is>
          <t>SFP+</t>
        </is>
      </c>
      <c r="F17" s="43" t="n">
        <v>10</v>
      </c>
      <c r="G17" s="43" t="inlineStr">
        <is>
          <t>DAC active</t>
        </is>
      </c>
      <c r="H17" s="43" t="inlineStr">
        <is>
          <t>SFP+</t>
        </is>
      </c>
      <c r="I17" s="43" t="n">
        <v>5</v>
      </c>
      <c r="J17" s="43" t="n"/>
      <c r="K17" s="43" t="n"/>
      <c r="L17" s="43" t="n"/>
      <c r="M17" s="43" t="n"/>
      <c r="N17" s="43" t="n"/>
      <c r="O17" s="43" t="inlineStr">
        <is>
          <t>5 yr</t>
        </is>
      </c>
      <c r="P17" s="43" t="inlineStr">
        <is>
          <t>M4250 + M4350 datasheets</t>
        </is>
      </c>
      <c r="Q17" s="43" t="n"/>
    </row>
    <row r="18" ht="15" customHeight="1" s="29">
      <c r="A18" s="43" t="inlineStr">
        <is>
          <t>AXC767-10000S</t>
        </is>
      </c>
      <c r="B18" s="43" t="inlineStr">
        <is>
          <t>AXC767</t>
        </is>
      </c>
      <c r="C18" s="43" t="inlineStr">
        <is>
          <t>DAC</t>
        </is>
      </c>
      <c r="D18" s="43" t="inlineStr">
        <is>
          <t>10G SFP+ DAC 7m, active copper</t>
        </is>
      </c>
      <c r="E18" s="43" t="inlineStr">
        <is>
          <t>SFP+</t>
        </is>
      </c>
      <c r="F18" s="43" t="n">
        <v>10</v>
      </c>
      <c r="G18" s="43" t="inlineStr">
        <is>
          <t>DAC active</t>
        </is>
      </c>
      <c r="H18" s="43" t="inlineStr">
        <is>
          <t>SFP+</t>
        </is>
      </c>
      <c r="I18" s="43" t="n">
        <v>7</v>
      </c>
      <c r="J18" s="43" t="n"/>
      <c r="K18" s="43" t="n"/>
      <c r="L18" s="43" t="n"/>
      <c r="M18" s="43" t="n"/>
      <c r="N18" s="43" t="n"/>
      <c r="O18" s="43" t="inlineStr">
        <is>
          <t>5 yr</t>
        </is>
      </c>
      <c r="P18" s="43" t="inlineStr">
        <is>
          <t>M4250 + M4350 datasheets</t>
        </is>
      </c>
      <c r="Q18" s="43" t="n"/>
    </row>
    <row r="19" ht="15" customHeight="1" s="29">
      <c r="A19" s="43" t="inlineStr">
        <is>
          <t>AXC7610-10000S</t>
        </is>
      </c>
      <c r="B19" s="43" t="inlineStr">
        <is>
          <t>AXC7610</t>
        </is>
      </c>
      <c r="C19" s="43" t="inlineStr">
        <is>
          <t>DAC</t>
        </is>
      </c>
      <c r="D19" s="43" t="inlineStr">
        <is>
          <t>10G SFP+ DAC 10m, active copper</t>
        </is>
      </c>
      <c r="E19" s="43" t="inlineStr">
        <is>
          <t>SFP+</t>
        </is>
      </c>
      <c r="F19" s="43" t="n">
        <v>10</v>
      </c>
      <c r="G19" s="43" t="inlineStr">
        <is>
          <t>DAC active</t>
        </is>
      </c>
      <c r="H19" s="43" t="inlineStr">
        <is>
          <t>SFP+</t>
        </is>
      </c>
      <c r="I19" s="43" t="n">
        <v>10</v>
      </c>
      <c r="J19" s="43" t="n"/>
      <c r="K19" s="43" t="n"/>
      <c r="L19" s="43" t="n"/>
      <c r="M19" s="43" t="n"/>
      <c r="N19" s="43" t="n"/>
      <c r="O19" s="43" t="inlineStr">
        <is>
          <t>5 yr</t>
        </is>
      </c>
      <c r="P19" s="43" t="inlineStr">
        <is>
          <t>M4250 + M4350 datasheets</t>
        </is>
      </c>
      <c r="Q19" s="43" t="n"/>
    </row>
    <row r="20" ht="15" customHeight="1" s="29">
      <c r="A20" s="43" t="inlineStr">
        <is>
          <t>AXC7615-10000S</t>
        </is>
      </c>
      <c r="B20" s="43" t="inlineStr">
        <is>
          <t>AXC7615</t>
        </is>
      </c>
      <c r="C20" s="43" t="inlineStr">
        <is>
          <t>AOC</t>
        </is>
      </c>
      <c r="D20" s="43" t="inlineStr">
        <is>
          <t>10G SFP+ 15m, fiber (AOC)</t>
        </is>
      </c>
      <c r="E20" s="43" t="inlineStr">
        <is>
          <t>SFP+</t>
        </is>
      </c>
      <c r="F20" s="43" t="n">
        <v>10</v>
      </c>
      <c r="G20" s="43" t="inlineStr">
        <is>
          <t>AOC</t>
        </is>
      </c>
      <c r="H20" s="43" t="inlineStr">
        <is>
          <t>SFP+</t>
        </is>
      </c>
      <c r="I20" s="43" t="n">
        <v>15</v>
      </c>
      <c r="J20" s="43" t="n"/>
      <c r="K20" s="43" t="n"/>
      <c r="L20" s="43" t="n"/>
      <c r="M20" s="43" t="n"/>
      <c r="N20" s="43" t="n"/>
      <c r="O20" s="43" t="inlineStr">
        <is>
          <t>5 yr</t>
        </is>
      </c>
      <c r="P20" s="43" t="inlineStr">
        <is>
          <t>M4250 + M4350 datasheets</t>
        </is>
      </c>
      <c r="Q20" s="43" t="n"/>
    </row>
    <row r="21" ht="15" customHeight="1" s="29">
      <c r="A21" s="43" t="inlineStr">
        <is>
          <t>AXC7620-10000S</t>
        </is>
      </c>
      <c r="B21" s="43" t="inlineStr">
        <is>
          <t>AXC7620</t>
        </is>
      </c>
      <c r="C21" s="43" t="inlineStr">
        <is>
          <t>AOC</t>
        </is>
      </c>
      <c r="D21" s="43" t="inlineStr">
        <is>
          <t>10G SFP+ 20m, fiber (AOC)</t>
        </is>
      </c>
      <c r="E21" s="43" t="inlineStr">
        <is>
          <t>SFP+</t>
        </is>
      </c>
      <c r="F21" s="43" t="n">
        <v>10</v>
      </c>
      <c r="G21" s="43" t="inlineStr">
        <is>
          <t>AOC</t>
        </is>
      </c>
      <c r="H21" s="43" t="inlineStr">
        <is>
          <t>SFP+</t>
        </is>
      </c>
      <c r="I21" s="43" t="n">
        <v>20</v>
      </c>
      <c r="J21" s="43" t="n"/>
      <c r="K21" s="43" t="n"/>
      <c r="L21" s="43" t="n"/>
      <c r="M21" s="43" t="n"/>
      <c r="N21" s="43" t="n"/>
      <c r="O21" s="43" t="inlineStr">
        <is>
          <t>5 yr</t>
        </is>
      </c>
      <c r="P21" s="43" t="inlineStr">
        <is>
          <t>M4250 + M4350 datasheets</t>
        </is>
      </c>
      <c r="Q21" s="43" t="n"/>
    </row>
    <row r="22" ht="46.25" customHeight="1" s="29">
      <c r="A22" s="43" t="inlineStr">
        <is>
          <t>APS254W-10000S</t>
        </is>
      </c>
      <c r="B22" s="43" t="inlineStr">
        <is>
          <t>APS254W</t>
        </is>
      </c>
      <c r="C22" s="43" t="inlineStr">
        <is>
          <t>Power Adapter</t>
        </is>
      </c>
      <c r="D22" s="51" t="inlineStr">
        <is>
          <t>254W external power adapter (C14, no cord)</t>
        </is>
      </c>
      <c r="E22" s="43" t="n"/>
      <c r="F22" s="43" t="n"/>
      <c r="G22" s="43" t="n"/>
      <c r="H22" s="43" t="inlineStr">
        <is>
          <t>C14</t>
        </is>
      </c>
      <c r="I22" s="43" t="n"/>
      <c r="J22" s="43" t="n"/>
      <c r="K22" s="43" t="n">
        <v>254</v>
      </c>
      <c r="L22" s="43" t="n">
        <v>254</v>
      </c>
      <c r="M22" s="43" t="inlineStr">
        <is>
          <t>None</t>
        </is>
      </c>
      <c r="N22" s="43" t="n"/>
      <c r="O22" s="43" t="inlineStr">
        <is>
          <t>2 yr</t>
        </is>
      </c>
      <c r="P22" s="51" t="inlineStr">
        <is>
          <t>M4350 datasheet DS-M4350-30May25 (fw 14.0) [file: M3450_Datasheet_30May25.pdf]</t>
        </is>
      </c>
      <c r="Q22" s="43" t="inlineStr">
        <is>
          <t>For M4350-8M2V and M4250-8G2XF-PoE+</t>
        </is>
      </c>
    </row>
    <row r="23" ht="46.25" customHeight="1" s="29">
      <c r="A23" s="43" t="inlineStr">
        <is>
          <t>APS350W-100NES</t>
        </is>
      </c>
      <c r="B23" s="43" t="inlineStr">
        <is>
          <t>APS350W</t>
        </is>
      </c>
      <c r="C23" s="43" t="inlineStr">
        <is>
          <t>PSU Module</t>
        </is>
      </c>
      <c r="D23" s="43" t="inlineStr">
        <is>
          <t>350W modular PSU</t>
        </is>
      </c>
      <c r="E23" s="43" t="n"/>
      <c r="F23" s="43" t="n"/>
      <c r="G23" s="43" t="n"/>
      <c r="H23" s="43" t="inlineStr">
        <is>
          <t>C14</t>
        </is>
      </c>
      <c r="I23" s="43" t="n"/>
      <c r="J23" s="43" t="n"/>
      <c r="K23" s="43" t="n">
        <v>350</v>
      </c>
      <c r="L23" s="43" t="n">
        <v>350</v>
      </c>
      <c r="M23" s="43" t="inlineStr">
        <is>
          <t>NA/UK/EU cords</t>
        </is>
      </c>
      <c r="N23" s="43" t="n"/>
      <c r="O23" s="43" t="inlineStr">
        <is>
          <t>5 yr</t>
        </is>
      </c>
      <c r="P23" s="51" t="inlineStr">
        <is>
          <t>M4350 datasheet DS-M4350-30May25 (fw 14.0) [file: M3450_Datasheet_30May25.pdf]</t>
        </is>
      </c>
      <c r="Q23" s="43" t="inlineStr">
        <is>
          <t>PSU group A</t>
        </is>
      </c>
    </row>
    <row r="24" ht="46.25" customHeight="1" s="29">
      <c r="A24" s="43" t="inlineStr">
        <is>
          <t>APS350W-100AJS</t>
        </is>
      </c>
      <c r="B24" s="43" t="inlineStr">
        <is>
          <t>APS350W</t>
        </is>
      </c>
      <c r="C24" s="43" t="inlineStr">
        <is>
          <t>PSU Module</t>
        </is>
      </c>
      <c r="D24" s="43" t="inlineStr">
        <is>
          <t>350W modular PSU</t>
        </is>
      </c>
      <c r="E24" s="43" t="n"/>
      <c r="F24" s="43" t="n"/>
      <c r="G24" s="43" t="n"/>
      <c r="H24" s="43" t="inlineStr">
        <is>
          <t>C14</t>
        </is>
      </c>
      <c r="I24" s="43" t="n"/>
      <c r="J24" s="43" t="n"/>
      <c r="K24" s="43" t="n">
        <v>350</v>
      </c>
      <c r="L24" s="43" t="n">
        <v>350</v>
      </c>
      <c r="M24" s="43" t="inlineStr">
        <is>
          <t>JP/AU cords</t>
        </is>
      </c>
      <c r="N24" s="43" t="n"/>
      <c r="O24" s="43" t="inlineStr">
        <is>
          <t>5 yr</t>
        </is>
      </c>
      <c r="P24" s="51" t="inlineStr">
        <is>
          <t>M4350 datasheet DS-M4350-30May25 (fw 14.0) [file: M3450_Datasheet_30May25.pdf]</t>
        </is>
      </c>
      <c r="Q24" s="43" t="inlineStr">
        <is>
          <t>PSU group A</t>
        </is>
      </c>
    </row>
    <row r="25" ht="46.25" customHeight="1" s="29">
      <c r="A25" s="43" t="inlineStr">
        <is>
          <t>APS350W-10000S</t>
        </is>
      </c>
      <c r="B25" s="43" t="inlineStr">
        <is>
          <t>APS350W</t>
        </is>
      </c>
      <c r="C25" s="43" t="inlineStr">
        <is>
          <t>PSU Module</t>
        </is>
      </c>
      <c r="D25" s="43" t="inlineStr">
        <is>
          <t>350W modular PSU</t>
        </is>
      </c>
      <c r="E25" s="43" t="n"/>
      <c r="F25" s="43" t="n"/>
      <c r="G25" s="43" t="n"/>
      <c r="H25" s="43" t="inlineStr">
        <is>
          <t>C14</t>
        </is>
      </c>
      <c r="I25" s="43" t="n"/>
      <c r="J25" s="43" t="n"/>
      <c r="K25" s="43" t="n">
        <v>350</v>
      </c>
      <c r="L25" s="43" t="n">
        <v>350</v>
      </c>
      <c r="M25" s="43" t="inlineStr">
        <is>
          <t>No cord</t>
        </is>
      </c>
      <c r="N25" s="43" t="n"/>
      <c r="O25" s="43" t="inlineStr">
        <is>
          <t>5 yr</t>
        </is>
      </c>
      <c r="P25" s="51" t="inlineStr">
        <is>
          <t>M4350 datasheet DS-M4350-30May25 (fw 14.0) [file: M3450_Datasheet_30May25.pdf]</t>
        </is>
      </c>
      <c r="Q25" s="43" t="inlineStr">
        <is>
          <t>PSU group A</t>
        </is>
      </c>
    </row>
    <row r="26" ht="46.25" customHeight="1" s="29">
      <c r="A26" s="43" t="inlineStr">
        <is>
          <t>APS600W-200NES</t>
        </is>
      </c>
      <c r="B26" s="43" t="inlineStr">
        <is>
          <t>APS600Wv2</t>
        </is>
      </c>
      <c r="C26" s="43" t="inlineStr">
        <is>
          <t>PSU Module</t>
        </is>
      </c>
      <c r="D26" s="43" t="inlineStr">
        <is>
          <t>600W modular PSU (v2)</t>
        </is>
      </c>
      <c r="E26" s="43" t="n"/>
      <c r="F26" s="43" t="n"/>
      <c r="G26" s="43" t="n"/>
      <c r="H26" s="43" t="inlineStr">
        <is>
          <t>C14</t>
        </is>
      </c>
      <c r="I26" s="43" t="n"/>
      <c r="J26" s="43" t="n"/>
      <c r="K26" s="43" t="n">
        <v>600</v>
      </c>
      <c r="L26" s="43" t="n">
        <v>600</v>
      </c>
      <c r="M26" s="43" t="inlineStr">
        <is>
          <t>NA/UK/EU cords</t>
        </is>
      </c>
      <c r="N26" s="43" t="n"/>
      <c r="O26" s="43" t="inlineStr">
        <is>
          <t>5 yr</t>
        </is>
      </c>
      <c r="P26" s="51" t="inlineStr">
        <is>
          <t>M4350 datasheet DS-M4350-30May25 (fw 14.0) [file: M3450_Datasheet_30May25.pdf]</t>
        </is>
      </c>
      <c r="Q26" s="43" t="inlineStr">
        <is>
          <t>PSU group A</t>
        </is>
      </c>
    </row>
    <row r="27" ht="46.25" customHeight="1" s="29">
      <c r="A27" s="43" t="inlineStr">
        <is>
          <t>APS600W-200AJS</t>
        </is>
      </c>
      <c r="B27" s="43" t="inlineStr">
        <is>
          <t>APS600Wv2</t>
        </is>
      </c>
      <c r="C27" s="43" t="inlineStr">
        <is>
          <t>PSU Module</t>
        </is>
      </c>
      <c r="D27" s="43" t="inlineStr">
        <is>
          <t>600W modular PSU (v2)</t>
        </is>
      </c>
      <c r="E27" s="43" t="n"/>
      <c r="F27" s="43" t="n"/>
      <c r="G27" s="43" t="n"/>
      <c r="H27" s="43" t="inlineStr">
        <is>
          <t>C14</t>
        </is>
      </c>
      <c r="I27" s="43" t="n"/>
      <c r="J27" s="43" t="n"/>
      <c r="K27" s="43" t="n">
        <v>600</v>
      </c>
      <c r="L27" s="43" t="n">
        <v>600</v>
      </c>
      <c r="M27" s="43" t="inlineStr">
        <is>
          <t>JP/AU cords</t>
        </is>
      </c>
      <c r="N27" s="43" t="n"/>
      <c r="O27" s="43" t="inlineStr">
        <is>
          <t>5 yr</t>
        </is>
      </c>
      <c r="P27" s="51" t="inlineStr">
        <is>
          <t>M4350 datasheet DS-M4350-30May25 (fw 14.0) [file: M3450_Datasheet_30May25.pdf]</t>
        </is>
      </c>
      <c r="Q27" s="43" t="inlineStr">
        <is>
          <t>PSU group A</t>
        </is>
      </c>
    </row>
    <row r="28" ht="46.25" customHeight="1" s="29">
      <c r="A28" s="43" t="inlineStr">
        <is>
          <t>APS600W-20000S</t>
        </is>
      </c>
      <c r="B28" s="43" t="inlineStr">
        <is>
          <t>APS600Wv2</t>
        </is>
      </c>
      <c r="C28" s="43" t="inlineStr">
        <is>
          <t>PSU Module</t>
        </is>
      </c>
      <c r="D28" s="43" t="inlineStr">
        <is>
          <t>600W modular PSU (v2)</t>
        </is>
      </c>
      <c r="E28" s="43" t="n"/>
      <c r="F28" s="43" t="n"/>
      <c r="G28" s="43" t="n"/>
      <c r="H28" s="43" t="inlineStr">
        <is>
          <t>C14</t>
        </is>
      </c>
      <c r="I28" s="43" t="n"/>
      <c r="J28" s="43" t="n"/>
      <c r="K28" s="43" t="n">
        <v>600</v>
      </c>
      <c r="L28" s="43" t="n">
        <v>600</v>
      </c>
      <c r="M28" s="43" t="inlineStr">
        <is>
          <t>No cord</t>
        </is>
      </c>
      <c r="N28" s="43" t="n"/>
      <c r="O28" s="43" t="inlineStr">
        <is>
          <t>5 yr</t>
        </is>
      </c>
      <c r="P28" s="51" t="inlineStr">
        <is>
          <t>M4350 datasheet DS-M4350-30May25 (fw 14.0) [file: M3450_Datasheet_30May25.pdf]</t>
        </is>
      </c>
      <c r="Q28" s="43" t="inlineStr">
        <is>
          <t>PSU group A</t>
        </is>
      </c>
    </row>
    <row r="29" ht="46.25" customHeight="1" s="29">
      <c r="A29" s="43" t="inlineStr">
        <is>
          <t>APS920W-100NES</t>
        </is>
      </c>
      <c r="B29" s="43" t="inlineStr">
        <is>
          <t>APS920W</t>
        </is>
      </c>
      <c r="C29" s="43" t="inlineStr">
        <is>
          <t>PSU Module</t>
        </is>
      </c>
      <c r="D29" s="43" t="inlineStr">
        <is>
          <t>920W modular PSU</t>
        </is>
      </c>
      <c r="E29" s="43" t="n"/>
      <c r="F29" s="43" t="n"/>
      <c r="G29" s="43" t="n"/>
      <c r="H29" s="43" t="inlineStr">
        <is>
          <t>C14</t>
        </is>
      </c>
      <c r="I29" s="43" t="n"/>
      <c r="J29" s="43" t="n"/>
      <c r="K29" s="43" t="n">
        <v>920</v>
      </c>
      <c r="L29" s="43" t="n">
        <v>920</v>
      </c>
      <c r="M29" s="43" t="inlineStr">
        <is>
          <t>NA/UK/EU cords</t>
        </is>
      </c>
      <c r="N29" s="43" t="n"/>
      <c r="O29" s="43" t="inlineStr">
        <is>
          <t>5 yr</t>
        </is>
      </c>
      <c r="P29" s="51" t="inlineStr">
        <is>
          <t>M4350 datasheet DS-M4350-30May25 (fw 14.0) [file: M3450_Datasheet_30May25.pdf]</t>
        </is>
      </c>
      <c r="Q29" s="43" t="inlineStr">
        <is>
          <t>PSU group A</t>
        </is>
      </c>
    </row>
    <row r="30" ht="46.25" customHeight="1" s="29">
      <c r="A30" s="43" t="inlineStr">
        <is>
          <t>APS920W-100AJS</t>
        </is>
      </c>
      <c r="B30" s="43" t="inlineStr">
        <is>
          <t>APS920W</t>
        </is>
      </c>
      <c r="C30" s="43" t="inlineStr">
        <is>
          <t>PSU Module</t>
        </is>
      </c>
      <c r="D30" s="43" t="inlineStr">
        <is>
          <t>920W modular PSU</t>
        </is>
      </c>
      <c r="E30" s="43" t="n"/>
      <c r="F30" s="43" t="n"/>
      <c r="G30" s="43" t="n"/>
      <c r="H30" s="43" t="inlineStr">
        <is>
          <t>C14</t>
        </is>
      </c>
      <c r="I30" s="43" t="n"/>
      <c r="J30" s="43" t="n"/>
      <c r="K30" s="43" t="n">
        <v>920</v>
      </c>
      <c r="L30" s="43" t="n">
        <v>920</v>
      </c>
      <c r="M30" s="43" t="inlineStr">
        <is>
          <t>JP/AU cords</t>
        </is>
      </c>
      <c r="N30" s="43" t="n"/>
      <c r="O30" s="43" t="inlineStr">
        <is>
          <t>5 yr</t>
        </is>
      </c>
      <c r="P30" s="51" t="inlineStr">
        <is>
          <t>M4350 datasheet DS-M4350-30May25 (fw 14.0) [file: M3450_Datasheet_30May25.pdf]</t>
        </is>
      </c>
      <c r="Q30" s="43" t="inlineStr">
        <is>
          <t>PSU group A</t>
        </is>
      </c>
    </row>
    <row r="31" ht="46.25" customHeight="1" s="29">
      <c r="A31" s="43" t="inlineStr">
        <is>
          <t>APS920W-10000S</t>
        </is>
      </c>
      <c r="B31" s="43" t="inlineStr">
        <is>
          <t>APS920W</t>
        </is>
      </c>
      <c r="C31" s="43" t="inlineStr">
        <is>
          <t>PSU Module</t>
        </is>
      </c>
      <c r="D31" s="43" t="inlineStr">
        <is>
          <t>920W modular PSU</t>
        </is>
      </c>
      <c r="E31" s="43" t="n"/>
      <c r="F31" s="43" t="n"/>
      <c r="G31" s="43" t="n"/>
      <c r="H31" s="43" t="inlineStr">
        <is>
          <t>C14</t>
        </is>
      </c>
      <c r="I31" s="43" t="n"/>
      <c r="J31" s="43" t="n"/>
      <c r="K31" s="43" t="n">
        <v>920</v>
      </c>
      <c r="L31" s="43" t="n">
        <v>920</v>
      </c>
      <c r="M31" s="43" t="inlineStr">
        <is>
          <t>No cord</t>
        </is>
      </c>
      <c r="N31" s="43" t="n"/>
      <c r="O31" s="43" t="inlineStr">
        <is>
          <t>5 yr</t>
        </is>
      </c>
      <c r="P31" s="51" t="inlineStr">
        <is>
          <t>M4350 datasheet DS-M4350-30May25 (fw 14.0) [file: M3450_Datasheet_30May25.pdf]</t>
        </is>
      </c>
      <c r="Q31" s="43" t="inlineStr">
        <is>
          <t>PSU group A</t>
        </is>
      </c>
    </row>
    <row r="32" ht="46.25" customHeight="1" s="29">
      <c r="A32" s="43" t="inlineStr">
        <is>
          <t>APS2000W-100NES</t>
        </is>
      </c>
      <c r="B32" s="43" t="inlineStr">
        <is>
          <t>APS2000W</t>
        </is>
      </c>
      <c r="C32" s="43" t="inlineStr">
        <is>
          <t>PSU Module</t>
        </is>
      </c>
      <c r="D32" s="43" t="inlineStr">
        <is>
          <t>2,000W modular PSU (1,000W @110V)</t>
        </is>
      </c>
      <c r="E32" s="43" t="n"/>
      <c r="F32" s="43" t="n"/>
      <c r="G32" s="43" t="n"/>
      <c r="H32" s="43" t="inlineStr">
        <is>
          <t>C14</t>
        </is>
      </c>
      <c r="I32" s="43" t="n"/>
      <c r="J32" s="43" t="n"/>
      <c r="K32" s="43" t="n">
        <v>1000</v>
      </c>
      <c r="L32" s="43" t="n">
        <v>2000</v>
      </c>
      <c r="M32" s="43" t="inlineStr">
        <is>
          <t>NA/UK/EU cords</t>
        </is>
      </c>
      <c r="N32" s="43" t="n"/>
      <c r="O32" s="43" t="inlineStr">
        <is>
          <t>5 yr</t>
        </is>
      </c>
      <c r="P32" s="51" t="inlineStr">
        <is>
          <t>M4350 datasheet DS-M4350-30May25 (fw 14.0) [file: M3450_Datasheet_30May25.pdf]</t>
        </is>
      </c>
      <c r="Q32" s="43" t="inlineStr">
        <is>
          <t>PSU group A</t>
        </is>
      </c>
    </row>
    <row r="33" ht="46.25" customHeight="1" s="29">
      <c r="A33" s="43" t="inlineStr">
        <is>
          <t>APS2000W-100AJS</t>
        </is>
      </c>
      <c r="B33" s="43" t="inlineStr">
        <is>
          <t>APS2000W</t>
        </is>
      </c>
      <c r="C33" s="43" t="inlineStr">
        <is>
          <t>PSU Module</t>
        </is>
      </c>
      <c r="D33" s="43" t="inlineStr">
        <is>
          <t>2,000W modular PSU (1,000W @110V)</t>
        </is>
      </c>
      <c r="E33" s="43" t="n"/>
      <c r="F33" s="43" t="n"/>
      <c r="G33" s="43" t="n"/>
      <c r="H33" s="43" t="inlineStr">
        <is>
          <t>C14</t>
        </is>
      </c>
      <c r="I33" s="43" t="n"/>
      <c r="J33" s="43" t="n"/>
      <c r="K33" s="43" t="n">
        <v>1000</v>
      </c>
      <c r="L33" s="43" t="n">
        <v>2000</v>
      </c>
      <c r="M33" s="43" t="inlineStr">
        <is>
          <t>JP/AU cords</t>
        </is>
      </c>
      <c r="N33" s="43" t="n"/>
      <c r="O33" s="43" t="inlineStr">
        <is>
          <t>5 yr</t>
        </is>
      </c>
      <c r="P33" s="51" t="inlineStr">
        <is>
          <t>M4350 datasheet DS-M4350-30May25 (fw 14.0) [file: M3450_Datasheet_30May25.pdf]</t>
        </is>
      </c>
      <c r="Q33" s="43" t="inlineStr">
        <is>
          <t>PSU group A</t>
        </is>
      </c>
    </row>
    <row r="34" ht="46.25" customHeight="1" s="29">
      <c r="A34" s="43" t="inlineStr">
        <is>
          <t>APS2000W-10000S</t>
        </is>
      </c>
      <c r="B34" s="43" t="inlineStr">
        <is>
          <t>APS2000W</t>
        </is>
      </c>
      <c r="C34" s="43" t="inlineStr">
        <is>
          <t>PSU Module</t>
        </is>
      </c>
      <c r="D34" s="43" t="inlineStr">
        <is>
          <t>2,000W modular PSU (1,000W @110V)</t>
        </is>
      </c>
      <c r="E34" s="43" t="n"/>
      <c r="F34" s="43" t="n"/>
      <c r="G34" s="43" t="n"/>
      <c r="H34" s="43" t="inlineStr">
        <is>
          <t>C14</t>
        </is>
      </c>
      <c r="I34" s="43" t="n"/>
      <c r="J34" s="43" t="n"/>
      <c r="K34" s="43" t="n">
        <v>1000</v>
      </c>
      <c r="L34" s="43" t="n">
        <v>2000</v>
      </c>
      <c r="M34" s="43" t="inlineStr">
        <is>
          <t>No cord</t>
        </is>
      </c>
      <c r="N34" s="43" t="n"/>
      <c r="O34" s="43" t="inlineStr">
        <is>
          <t>5 yr</t>
        </is>
      </c>
      <c r="P34" s="51" t="inlineStr">
        <is>
          <t>M4350 datasheet DS-M4350-30May25 (fw 14.0) [file: M3450_Datasheet_30May25.pdf]</t>
        </is>
      </c>
      <c r="Q34" s="43" t="inlineStr">
        <is>
          <t>PSU group A</t>
        </is>
      </c>
    </row>
    <row r="35" ht="46.25" customHeight="1" s="29">
      <c r="A35" s="43" t="inlineStr">
        <is>
          <t>APS600W-300NES</t>
        </is>
      </c>
      <c r="B35" s="43" t="inlineStr">
        <is>
          <t>APS600Wv3</t>
        </is>
      </c>
      <c r="C35" s="43" t="inlineStr">
        <is>
          <t>PSU Module</t>
        </is>
      </c>
      <c r="D35" s="43" t="inlineStr">
        <is>
          <t>600W modular PSU (v3)</t>
        </is>
      </c>
      <c r="E35" s="43" t="n"/>
      <c r="F35" s="43" t="n"/>
      <c r="G35" s="43" t="n"/>
      <c r="H35" s="43" t="inlineStr">
        <is>
          <t>C14</t>
        </is>
      </c>
      <c r="I35" s="43" t="n"/>
      <c r="J35" s="43" t="n"/>
      <c r="K35" s="43" t="n">
        <v>600</v>
      </c>
      <c r="L35" s="43" t="n">
        <v>600</v>
      </c>
      <c r="M35" s="43" t="inlineStr">
        <is>
          <t>NA/UK/EU cords</t>
        </is>
      </c>
      <c r="N35" s="43" t="n"/>
      <c r="O35" s="43" t="inlineStr">
        <is>
          <t>5 yr</t>
        </is>
      </c>
      <c r="P35" s="51" t="inlineStr">
        <is>
          <t>M4350 datasheet DS-M4350-30May25 (fw 14.0) [file: M3450_Datasheet_30May25.pdf]</t>
        </is>
      </c>
      <c r="Q35" s="43" t="inlineStr">
        <is>
          <t>PSU group B</t>
        </is>
      </c>
    </row>
    <row r="36" ht="46.25" customHeight="1" s="29">
      <c r="A36" s="43" t="inlineStr">
        <is>
          <t>APS600W-300AJS</t>
        </is>
      </c>
      <c r="B36" s="43" t="inlineStr">
        <is>
          <t>APS600Wv3</t>
        </is>
      </c>
      <c r="C36" s="43" t="inlineStr">
        <is>
          <t>PSU Module</t>
        </is>
      </c>
      <c r="D36" s="43" t="inlineStr">
        <is>
          <t>600W modular PSU (v3)</t>
        </is>
      </c>
      <c r="E36" s="43" t="n"/>
      <c r="F36" s="43" t="n"/>
      <c r="G36" s="43" t="n"/>
      <c r="H36" s="43" t="inlineStr">
        <is>
          <t>C14</t>
        </is>
      </c>
      <c r="I36" s="43" t="n"/>
      <c r="J36" s="43" t="n"/>
      <c r="K36" s="43" t="n">
        <v>600</v>
      </c>
      <c r="L36" s="43" t="n">
        <v>600</v>
      </c>
      <c r="M36" s="43" t="inlineStr">
        <is>
          <t>JP/AU cords</t>
        </is>
      </c>
      <c r="N36" s="43" t="n"/>
      <c r="O36" s="43" t="inlineStr">
        <is>
          <t>5 yr</t>
        </is>
      </c>
      <c r="P36" s="51" t="inlineStr">
        <is>
          <t>M4350 datasheet DS-M4350-30May25 (fw 14.0) [file: M3450_Datasheet_30May25.pdf]</t>
        </is>
      </c>
      <c r="Q36" s="43" t="inlineStr">
        <is>
          <t>PSU group B</t>
        </is>
      </c>
    </row>
    <row r="37" ht="46.25" customHeight="1" s="29">
      <c r="A37" s="43" t="inlineStr">
        <is>
          <t>APS600W-30000S</t>
        </is>
      </c>
      <c r="B37" s="43" t="inlineStr">
        <is>
          <t>APS600Wv3</t>
        </is>
      </c>
      <c r="C37" s="43" t="inlineStr">
        <is>
          <t>PSU Module</t>
        </is>
      </c>
      <c r="D37" s="43" t="inlineStr">
        <is>
          <t>600W modular PSU (v3)</t>
        </is>
      </c>
      <c r="E37" s="43" t="n"/>
      <c r="F37" s="43" t="n"/>
      <c r="G37" s="43" t="n"/>
      <c r="H37" s="43" t="inlineStr">
        <is>
          <t>C14</t>
        </is>
      </c>
      <c r="I37" s="43" t="n"/>
      <c r="J37" s="43" t="n"/>
      <c r="K37" s="43" t="n">
        <v>600</v>
      </c>
      <c r="L37" s="43" t="n">
        <v>600</v>
      </c>
      <c r="M37" s="43" t="inlineStr">
        <is>
          <t>No cord</t>
        </is>
      </c>
      <c r="N37" s="43" t="n"/>
      <c r="O37" s="43" t="inlineStr">
        <is>
          <t>5 yr</t>
        </is>
      </c>
      <c r="P37" s="51" t="inlineStr">
        <is>
          <t>M4350 datasheet DS-M4350-30May25 (fw 14.0) [file: M3450_Datasheet_30May25.pdf]</t>
        </is>
      </c>
      <c r="Q37" s="43" t="inlineStr">
        <is>
          <t>PSU group B</t>
        </is>
      </c>
    </row>
    <row r="38" ht="46.25" customHeight="1" s="29">
      <c r="A38" s="43" t="inlineStr">
        <is>
          <t>APS1200W-200NES</t>
        </is>
      </c>
      <c r="B38" s="43" t="inlineStr">
        <is>
          <t>APS1200Wv2</t>
        </is>
      </c>
      <c r="C38" s="43" t="inlineStr">
        <is>
          <t>PSU Module</t>
        </is>
      </c>
      <c r="D38" s="43" t="inlineStr">
        <is>
          <t>1,200W modular PSU (v2)</t>
        </is>
      </c>
      <c r="E38" s="43" t="n"/>
      <c r="F38" s="43" t="n"/>
      <c r="G38" s="43" t="n"/>
      <c r="H38" s="43" t="inlineStr">
        <is>
          <t>C14</t>
        </is>
      </c>
      <c r="I38" s="43" t="n"/>
      <c r="J38" s="43" t="n"/>
      <c r="K38" s="43" t="n">
        <v>1200</v>
      </c>
      <c r="L38" s="43" t="n">
        <v>1200</v>
      </c>
      <c r="M38" s="43" t="inlineStr">
        <is>
          <t>NA/UK/EU cords</t>
        </is>
      </c>
      <c r="N38" s="43" t="n"/>
      <c r="O38" s="43" t="inlineStr">
        <is>
          <t>5 yr</t>
        </is>
      </c>
      <c r="P38" s="51" t="inlineStr">
        <is>
          <t>M4350 datasheet DS-M4350-30May25 (fw 14.0) [file: M3450_Datasheet_30May25.pdf]</t>
        </is>
      </c>
      <c r="Q38" s="51" t="inlineStr">
        <is>
          <t>PSU group B; PoE matrix shows lower budget at 110VAC - datasheet does not state 110V rating</t>
        </is>
      </c>
    </row>
    <row r="39" ht="46.25" customHeight="1" s="29">
      <c r="A39" s="43" t="inlineStr">
        <is>
          <t>APS1200W-200AJS</t>
        </is>
      </c>
      <c r="B39" s="43" t="inlineStr">
        <is>
          <t>APS1200Wv2</t>
        </is>
      </c>
      <c r="C39" s="43" t="inlineStr">
        <is>
          <t>PSU Module</t>
        </is>
      </c>
      <c r="D39" s="43" t="inlineStr">
        <is>
          <t>1,200W modular PSU (v2)</t>
        </is>
      </c>
      <c r="E39" s="43" t="n"/>
      <c r="F39" s="43" t="n"/>
      <c r="G39" s="43" t="n"/>
      <c r="H39" s="43" t="inlineStr">
        <is>
          <t>C14</t>
        </is>
      </c>
      <c r="I39" s="43" t="n"/>
      <c r="J39" s="43" t="n"/>
      <c r="K39" s="43" t="n">
        <v>1200</v>
      </c>
      <c r="L39" s="43" t="n">
        <v>1200</v>
      </c>
      <c r="M39" s="43" t="inlineStr">
        <is>
          <t>JP/AU cords</t>
        </is>
      </c>
      <c r="N39" s="43" t="n"/>
      <c r="O39" s="43" t="inlineStr">
        <is>
          <t>5 yr</t>
        </is>
      </c>
      <c r="P39" s="51" t="inlineStr">
        <is>
          <t>M4350 datasheet DS-M4350-30May25 (fw 14.0) [file: M3450_Datasheet_30May25.pdf]</t>
        </is>
      </c>
      <c r="Q39" s="51" t="inlineStr">
        <is>
          <t>PSU group B; PoE matrix shows lower budget at 110VAC - datasheet does not state 110V rating</t>
        </is>
      </c>
    </row>
    <row r="40" ht="46.25" customHeight="1" s="29">
      <c r="A40" s="43" t="inlineStr">
        <is>
          <t>APS1200W-20000S</t>
        </is>
      </c>
      <c r="B40" s="43" t="inlineStr">
        <is>
          <t>APS1200Wv2</t>
        </is>
      </c>
      <c r="C40" s="43" t="inlineStr">
        <is>
          <t>PSU Module</t>
        </is>
      </c>
      <c r="D40" s="43" t="inlineStr">
        <is>
          <t>1,200W modular PSU (v2)</t>
        </is>
      </c>
      <c r="E40" s="43" t="n"/>
      <c r="F40" s="43" t="n"/>
      <c r="G40" s="43" t="n"/>
      <c r="H40" s="43" t="inlineStr">
        <is>
          <t>C14</t>
        </is>
      </c>
      <c r="I40" s="43" t="n"/>
      <c r="J40" s="43" t="n"/>
      <c r="K40" s="43" t="n">
        <v>1200</v>
      </c>
      <c r="L40" s="43" t="n">
        <v>1200</v>
      </c>
      <c r="M40" s="43" t="inlineStr">
        <is>
          <t>No cord</t>
        </is>
      </c>
      <c r="N40" s="43" t="n"/>
      <c r="O40" s="43" t="inlineStr">
        <is>
          <t>5 yr</t>
        </is>
      </c>
      <c r="P40" s="51" t="inlineStr">
        <is>
          <t>M4350 datasheet DS-M4350-30May25 (fw 14.0) [file: M3450_Datasheet_30May25.pdf]</t>
        </is>
      </c>
      <c r="Q40" s="51" t="inlineStr">
        <is>
          <t>PSU group B; PoE matrix shows lower budget at 110VAC - datasheet does not state 110V rating</t>
        </is>
      </c>
    </row>
    <row r="41" ht="46.25" customHeight="1" s="29">
      <c r="A41" s="43" t="inlineStr">
        <is>
          <t>APS2000W-200NES</t>
        </is>
      </c>
      <c r="B41" s="43" t="inlineStr">
        <is>
          <t>APS2000Wv2</t>
        </is>
      </c>
      <c r="C41" s="43" t="inlineStr">
        <is>
          <t>PSU Module</t>
        </is>
      </c>
      <c r="D41" s="43" t="inlineStr">
        <is>
          <t>2,000W modular PSU v2 (1,000W @110V)</t>
        </is>
      </c>
      <c r="E41" s="43" t="n"/>
      <c r="F41" s="43" t="n"/>
      <c r="G41" s="43" t="n"/>
      <c r="H41" s="43" t="inlineStr">
        <is>
          <t>C14</t>
        </is>
      </c>
      <c r="I41" s="43" t="n"/>
      <c r="J41" s="43" t="n"/>
      <c r="K41" s="43" t="n">
        <v>1000</v>
      </c>
      <c r="L41" s="43" t="n">
        <v>2000</v>
      </c>
      <c r="M41" s="43" t="inlineStr">
        <is>
          <t>NA/UK/EU cords</t>
        </is>
      </c>
      <c r="N41" s="43" t="n"/>
      <c r="O41" s="43" t="inlineStr">
        <is>
          <t>5 yr</t>
        </is>
      </c>
      <c r="P41" s="51" t="inlineStr">
        <is>
          <t>M4350 datasheet DS-M4350-30May25 (fw 14.0) [file: M3450_Datasheet_30May25.pdf]</t>
        </is>
      </c>
      <c r="Q41" s="43" t="inlineStr">
        <is>
          <t>PSU group B</t>
        </is>
      </c>
    </row>
    <row r="42" ht="46.25" customHeight="1" s="29">
      <c r="A42" s="43" t="inlineStr">
        <is>
          <t>APS2000W-200AJS</t>
        </is>
      </c>
      <c r="B42" s="43" t="inlineStr">
        <is>
          <t>APS2000Wv2</t>
        </is>
      </c>
      <c r="C42" s="43" t="inlineStr">
        <is>
          <t>PSU Module</t>
        </is>
      </c>
      <c r="D42" s="43" t="inlineStr">
        <is>
          <t>2,000W modular PSU v2 (1,000W @110V)</t>
        </is>
      </c>
      <c r="E42" s="43" t="n"/>
      <c r="F42" s="43" t="n"/>
      <c r="G42" s="43" t="n"/>
      <c r="H42" s="43" t="inlineStr">
        <is>
          <t>C14</t>
        </is>
      </c>
      <c r="I42" s="43" t="n"/>
      <c r="J42" s="43" t="n"/>
      <c r="K42" s="43" t="n">
        <v>1000</v>
      </c>
      <c r="L42" s="43" t="n">
        <v>2000</v>
      </c>
      <c r="M42" s="43" t="inlineStr">
        <is>
          <t>JP/AU cords</t>
        </is>
      </c>
      <c r="N42" s="43" t="n"/>
      <c r="O42" s="43" t="inlineStr">
        <is>
          <t>5 yr</t>
        </is>
      </c>
      <c r="P42" s="51" t="inlineStr">
        <is>
          <t>M4350 datasheet DS-M4350-30May25 (fw 14.0) [file: M3450_Datasheet_30May25.pdf]</t>
        </is>
      </c>
      <c r="Q42" s="43" t="inlineStr">
        <is>
          <t>PSU group B</t>
        </is>
      </c>
    </row>
    <row r="43" ht="46.25" customHeight="1" s="29">
      <c r="A43" s="43" t="inlineStr">
        <is>
          <t>APS2000W-20000S</t>
        </is>
      </c>
      <c r="B43" s="43" t="inlineStr">
        <is>
          <t>APS2000Wv2</t>
        </is>
      </c>
      <c r="C43" s="43" t="inlineStr">
        <is>
          <t>PSU Module</t>
        </is>
      </c>
      <c r="D43" s="43" t="inlineStr">
        <is>
          <t>2,000W modular PSU v2 (1,000W @110V)</t>
        </is>
      </c>
      <c r="E43" s="43" t="n"/>
      <c r="F43" s="43" t="n"/>
      <c r="G43" s="43" t="n"/>
      <c r="H43" s="43" t="inlineStr">
        <is>
          <t>C14</t>
        </is>
      </c>
      <c r="I43" s="43" t="n"/>
      <c r="J43" s="43" t="n"/>
      <c r="K43" s="43" t="n">
        <v>1000</v>
      </c>
      <c r="L43" s="43" t="n">
        <v>2000</v>
      </c>
      <c r="M43" s="43" t="inlineStr">
        <is>
          <t>No cord</t>
        </is>
      </c>
      <c r="N43" s="43" t="n"/>
      <c r="O43" s="43" t="inlineStr">
        <is>
          <t>5 yr</t>
        </is>
      </c>
      <c r="P43" s="51" t="inlineStr">
        <is>
          <t>M4350 datasheet DS-M4350-30May25 (fw 14.0) [file: M3450_Datasheet_30May25.pdf]</t>
        </is>
      </c>
      <c r="Q43" s="43" t="inlineStr">
        <is>
          <t>PSU group B</t>
        </is>
      </c>
    </row>
    <row r="44" ht="46.25" customHeight="1" s="29">
      <c r="A44" s="43" t="inlineStr">
        <is>
          <t>PST4310-10000S</t>
        </is>
      </c>
      <c r="B44" s="43" t="inlineStr">
        <is>
          <t>PST4310</t>
        </is>
      </c>
      <c r="C44" s="43" t="inlineStr">
        <is>
          <t>PSU Tray</t>
        </is>
      </c>
      <c r="D44" s="51" t="inlineStr">
        <is>
          <t>Half-width PSU tray for M4350-8M2V (holds 2x APS254W)</t>
        </is>
      </c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51" t="inlineStr">
        <is>
          <t>M4350 datasheet DS-M4350-30May25 (fw 14.0) [file: M3450_Datasheet_30May25.pdf]</t>
        </is>
      </c>
      <c r="Q44" s="43" t="n"/>
    </row>
    <row r="45" ht="15" customHeight="1" s="29">
      <c r="A45" s="43" t="inlineStr">
        <is>
          <t>SEC-PR460X-01</t>
        </is>
      </c>
      <c r="B45" s="43" t="inlineStr">
        <is>
          <t>SEC-PR460X</t>
        </is>
      </c>
      <c r="C45" s="43" t="inlineStr">
        <is>
          <t>License</t>
        </is>
      </c>
      <c r="D45" s="43" t="inlineStr">
        <is>
          <t>Exium security license - monthly</t>
        </is>
      </c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>
        <v>1</v>
      </c>
      <c r="O45" s="43" t="n"/>
      <c r="P45" s="43" t="inlineStr">
        <is>
          <t>PR460X datasheet NG_DS_AV_PR460X-042926</t>
        </is>
      </c>
      <c r="Q45" s="43" t="inlineStr">
        <is>
          <t>SKUs marked WIP in datasheet</t>
        </is>
      </c>
    </row>
    <row r="46" ht="15" customHeight="1" s="29">
      <c r="A46" s="43" t="inlineStr">
        <is>
          <t>SEC-PR460X-12</t>
        </is>
      </c>
      <c r="B46" s="43" t="inlineStr">
        <is>
          <t>SEC-PR460X</t>
        </is>
      </c>
      <c r="C46" s="43" t="inlineStr">
        <is>
          <t>License</t>
        </is>
      </c>
      <c r="D46" s="43" t="inlineStr">
        <is>
          <t>Exium security license - 1 year</t>
        </is>
      </c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>
        <v>12</v>
      </c>
      <c r="O46" s="43" t="n"/>
      <c r="P46" s="43" t="inlineStr">
        <is>
          <t>PR460X datasheet NG_DS_AV_PR460X-042926</t>
        </is>
      </c>
      <c r="Q46" s="43" t="inlineStr">
        <is>
          <t>SKUs marked WIP in datasheet</t>
        </is>
      </c>
    </row>
    <row r="47" ht="15" customHeight="1" s="29">
      <c r="A47" s="43" t="inlineStr">
        <is>
          <t>SEC-PR460X-36</t>
        </is>
      </c>
      <c r="B47" s="43" t="inlineStr">
        <is>
          <t>SEC-PR460X</t>
        </is>
      </c>
      <c r="C47" s="43" t="inlineStr">
        <is>
          <t>License</t>
        </is>
      </c>
      <c r="D47" s="43" t="inlineStr">
        <is>
          <t>Exium security license - 3 year</t>
        </is>
      </c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>
        <v>36</v>
      </c>
      <c r="O47" s="43" t="n"/>
      <c r="P47" s="43" t="inlineStr">
        <is>
          <t>PR460X datasheet NG_DS_AV_PR460X-042926</t>
        </is>
      </c>
      <c r="Q47" s="43" t="inlineStr">
        <is>
          <t>SKUs marked WIP in datasheet</t>
        </is>
      </c>
    </row>
    <row r="48" ht="15" customHeight="1" s="29">
      <c r="A48" s="43" t="inlineStr">
        <is>
          <t>SEC-PR460X-60</t>
        </is>
      </c>
      <c r="B48" s="43" t="inlineStr">
        <is>
          <t>SEC-PR460X</t>
        </is>
      </c>
      <c r="C48" s="43" t="inlineStr">
        <is>
          <t>License</t>
        </is>
      </c>
      <c r="D48" s="43" t="inlineStr">
        <is>
          <t>Exium security license - 5 year</t>
        </is>
      </c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>
        <v>60</v>
      </c>
      <c r="O48" s="43" t="n"/>
      <c r="P48" s="43" t="inlineStr">
        <is>
          <t>PR460X datasheet NG_DS_AV_PR460X-042926</t>
        </is>
      </c>
      <c r="Q48" s="43" t="inlineStr">
        <is>
          <t>SKUs marked WIP in datasheet</t>
        </is>
      </c>
    </row>
    <row r="49" ht="23.85" customHeight="1" s="29">
      <c r="A49" s="43" t="inlineStr">
        <is>
          <t>PSB0304-10000S</t>
        </is>
      </c>
      <c r="B49" s="43" t="inlineStr">
        <is>
          <t>PSB0304</t>
        </is>
      </c>
      <c r="C49" s="43" t="inlineStr">
        <is>
          <t>Service</t>
        </is>
      </c>
      <c r="D49" s="51" t="inlineStr">
        <is>
          <t>Remote installation setup &amp; config (2-hr appointment)</t>
        </is>
      </c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51" t="inlineStr">
        <is>
          <t>M4250 datasheet DS-M4250-9Nov23 (fw 13.0.4)</t>
        </is>
      </c>
      <c r="Q49" s="43" t="inlineStr">
        <is>
          <t>All M4250 models</t>
        </is>
      </c>
    </row>
    <row r="50" ht="23.85" customHeight="1" s="29">
      <c r="A50" s="43" t="inlineStr">
        <is>
          <t>PMB0312-10000S</t>
        </is>
      </c>
      <c r="B50" s="43" t="inlineStr">
        <is>
          <t>OnCall Cat 2</t>
        </is>
      </c>
      <c r="C50" s="43" t="inlineStr">
        <is>
          <t>Support</t>
        </is>
      </c>
      <c r="D50" s="43" t="inlineStr">
        <is>
          <t>OnCall 24x7 1-year Cat 2</t>
        </is>
      </c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>
        <v>12</v>
      </c>
      <c r="O50" s="43" t="n"/>
      <c r="P50" s="51" t="inlineStr">
        <is>
          <t>M4250 datasheet DS-M4250-9Nov23 (fw 13.0.4)</t>
        </is>
      </c>
      <c r="Q50" s="43" t="n"/>
    </row>
    <row r="51" ht="23.85" customHeight="1" s="29">
      <c r="A51" s="43" t="inlineStr">
        <is>
          <t>PMB0332-10000S</t>
        </is>
      </c>
      <c r="B51" s="43" t="inlineStr">
        <is>
          <t>OnCall Cat 2</t>
        </is>
      </c>
      <c r="C51" s="43" t="inlineStr">
        <is>
          <t>Support</t>
        </is>
      </c>
      <c r="D51" s="43" t="inlineStr">
        <is>
          <t>OnCall 24x7 3-year Cat 2</t>
        </is>
      </c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>
        <v>36</v>
      </c>
      <c r="O51" s="43" t="n"/>
      <c r="P51" s="51" t="inlineStr">
        <is>
          <t>M4250 datasheet DS-M4250-9Nov23 (fw 13.0.4)</t>
        </is>
      </c>
      <c r="Q51" s="43" t="n"/>
    </row>
    <row r="52" ht="23.85" customHeight="1" s="29">
      <c r="A52" s="43" t="inlineStr">
        <is>
          <t>PMB0352-10000S</t>
        </is>
      </c>
      <c r="B52" s="43" t="inlineStr">
        <is>
          <t>OnCall Cat 2</t>
        </is>
      </c>
      <c r="C52" s="43" t="inlineStr">
        <is>
          <t>Support</t>
        </is>
      </c>
      <c r="D52" s="43" t="inlineStr">
        <is>
          <t>OnCall 24x7 5-year Cat 2</t>
        </is>
      </c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>
        <v>60</v>
      </c>
      <c r="O52" s="43" t="n"/>
      <c r="P52" s="51" t="inlineStr">
        <is>
          <t>M4250 datasheet DS-M4250-9Nov23 (fw 13.0.4)</t>
        </is>
      </c>
      <c r="Q52" s="43" t="n"/>
    </row>
    <row r="53" ht="15" customHeight="1" s="29">
      <c r="A53" s="43" t="inlineStr">
        <is>
          <t>PMB0313-10000S</t>
        </is>
      </c>
      <c r="B53" s="43" t="inlineStr">
        <is>
          <t>OnCall Cat 3</t>
        </is>
      </c>
      <c r="C53" s="43" t="inlineStr">
        <is>
          <t>Support</t>
        </is>
      </c>
      <c r="D53" s="43" t="inlineStr">
        <is>
          <t>OnCall 24x7 1-year Cat 3</t>
        </is>
      </c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>
        <v>12</v>
      </c>
      <c r="O53" s="43" t="n"/>
      <c r="P53" s="43" t="inlineStr">
        <is>
          <t>M4250 + M4350 datasheets</t>
        </is>
      </c>
      <c r="Q53" s="43" t="n"/>
    </row>
    <row r="54" ht="15" customHeight="1" s="29">
      <c r="A54" s="43" t="inlineStr">
        <is>
          <t>PMB0333-10000S</t>
        </is>
      </c>
      <c r="B54" s="43" t="inlineStr">
        <is>
          <t>OnCall Cat 3</t>
        </is>
      </c>
      <c r="C54" s="43" t="inlineStr">
        <is>
          <t>Support</t>
        </is>
      </c>
      <c r="D54" s="43" t="inlineStr">
        <is>
          <t>OnCall 24x7 3-year Cat 3</t>
        </is>
      </c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>
        <v>36</v>
      </c>
      <c r="O54" s="43" t="n"/>
      <c r="P54" s="43" t="inlineStr">
        <is>
          <t>M4250 + M4350 datasheets</t>
        </is>
      </c>
      <c r="Q54" s="43" t="n"/>
    </row>
    <row r="55" ht="15" customHeight="1" s="29">
      <c r="A55" s="43" t="inlineStr">
        <is>
          <t>PMB0353-10000S</t>
        </is>
      </c>
      <c r="B55" s="43" t="inlineStr">
        <is>
          <t>OnCall Cat 3</t>
        </is>
      </c>
      <c r="C55" s="43" t="inlineStr">
        <is>
          <t>Support</t>
        </is>
      </c>
      <c r="D55" s="43" t="inlineStr">
        <is>
          <t>OnCall 24x7 5-year Cat 3</t>
        </is>
      </c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>
        <v>60</v>
      </c>
      <c r="O55" s="43" t="n"/>
      <c r="P55" s="43" t="inlineStr">
        <is>
          <t>M4250 + M4350 datasheets</t>
        </is>
      </c>
      <c r="Q55" s="43" t="n"/>
    </row>
    <row r="56" ht="46.25" customHeight="1" s="29">
      <c r="A56" s="43" t="inlineStr">
        <is>
          <t>PMB0314-10000S</t>
        </is>
      </c>
      <c r="B56" s="43" t="inlineStr">
        <is>
          <t>OnCall Cat 4</t>
        </is>
      </c>
      <c r="C56" s="43" t="inlineStr">
        <is>
          <t>Support</t>
        </is>
      </c>
      <c r="D56" s="43" t="inlineStr">
        <is>
          <t>OnCall 24x7 1-year Cat 4</t>
        </is>
      </c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>
        <v>12</v>
      </c>
      <c r="O56" s="43" t="n"/>
      <c r="P56" s="51" t="inlineStr">
        <is>
          <t>M4350 datasheet DS-M4350-30May25 (fw 14.0) [file: M3450_Datasheet_30May25.pdf]</t>
        </is>
      </c>
      <c r="Q56" s="43" t="n"/>
    </row>
    <row r="57" ht="46.25" customHeight="1" s="29">
      <c r="A57" s="43" t="inlineStr">
        <is>
          <t>PMB0334-10000S</t>
        </is>
      </c>
      <c r="B57" s="43" t="inlineStr">
        <is>
          <t>OnCall Cat 4</t>
        </is>
      </c>
      <c r="C57" s="43" t="inlineStr">
        <is>
          <t>Support</t>
        </is>
      </c>
      <c r="D57" s="43" t="inlineStr">
        <is>
          <t>OnCall 24x7 3-year Cat 4</t>
        </is>
      </c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>
        <v>36</v>
      </c>
      <c r="O57" s="43" t="n"/>
      <c r="P57" s="51" t="inlineStr">
        <is>
          <t>M4350 datasheet DS-M4350-30May25 (fw 14.0) [file: M3450_Datasheet_30May25.pdf]</t>
        </is>
      </c>
      <c r="Q57" s="43" t="n"/>
    </row>
    <row r="58" ht="46.25" customHeight="1" s="29">
      <c r="A58" s="43" t="inlineStr">
        <is>
          <t>PMB0354-10000S</t>
        </is>
      </c>
      <c r="B58" s="43" t="inlineStr">
        <is>
          <t>OnCall Cat 4</t>
        </is>
      </c>
      <c r="C58" s="43" t="inlineStr">
        <is>
          <t>Support</t>
        </is>
      </c>
      <c r="D58" s="43" t="inlineStr">
        <is>
          <t>OnCall 24x7 5-year Cat 4</t>
        </is>
      </c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>
        <v>60</v>
      </c>
      <c r="O58" s="43" t="n"/>
      <c r="P58" s="51" t="inlineStr">
        <is>
          <t>M4350 datasheet DS-M4350-30May25 (fw 14.0) [file: M3450_Datasheet_30May25.pdf]</t>
        </is>
      </c>
      <c r="Q58" s="43" t="n"/>
    </row>
    <row r="59" ht="15" customHeight="1" s="29">
      <c r="A59" s="43" t="inlineStr">
        <is>
          <t>SPR-WBE718-12</t>
        </is>
      </c>
      <c r="B59" s="43" t="inlineStr">
        <is>
          <t>SPR-WBE718</t>
        </is>
      </c>
      <c r="C59" s="43" t="inlineStr">
        <is>
          <t>Support</t>
        </is>
      </c>
      <c r="D59" s="43" t="inlineStr">
        <is>
          <t>Sprint 24/5 + advance RMA - 1 yr</t>
        </is>
      </c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>
        <v>12</v>
      </c>
      <c r="O59" s="43" t="n"/>
      <c r="P59" s="43" t="inlineStr">
        <is>
          <t>WBE718 datasheet DS-WBE718_02Apr26</t>
        </is>
      </c>
      <c r="Q59" s="43" t="n"/>
    </row>
    <row r="60" ht="15" customHeight="1" s="29">
      <c r="A60" s="43" t="inlineStr">
        <is>
          <t>SPR-WBE718-36</t>
        </is>
      </c>
      <c r="B60" s="43" t="inlineStr">
        <is>
          <t>SPR-WBE718</t>
        </is>
      </c>
      <c r="C60" s="43" t="inlineStr">
        <is>
          <t>Support</t>
        </is>
      </c>
      <c r="D60" s="43" t="inlineStr">
        <is>
          <t>Sprint 24/5 + advance RMA - 3 yr</t>
        </is>
      </c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>
        <v>36</v>
      </c>
      <c r="O60" s="43" t="n"/>
      <c r="P60" s="43" t="inlineStr">
        <is>
          <t>WBE718 datasheet DS-WBE718_02Apr26</t>
        </is>
      </c>
      <c r="Q60" s="43" t="n"/>
    </row>
    <row r="61" ht="15" customHeight="1" s="29">
      <c r="A61" s="43" t="inlineStr">
        <is>
          <t>SPR-WBE718-60</t>
        </is>
      </c>
      <c r="B61" s="43" t="inlineStr">
        <is>
          <t>SPR-WBE718</t>
        </is>
      </c>
      <c r="C61" s="43" t="inlineStr">
        <is>
          <t>Support</t>
        </is>
      </c>
      <c r="D61" s="43" t="inlineStr">
        <is>
          <t>Sprint 24/5 + advance RMA - 5 yr</t>
        </is>
      </c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>
        <v>60</v>
      </c>
      <c r="O61" s="43" t="n"/>
      <c r="P61" s="43" t="inlineStr">
        <is>
          <t>WBE718 datasheet DS-WBE718_02Apr26</t>
        </is>
      </c>
      <c r="Q61" s="43" t="n"/>
    </row>
    <row r="62" ht="23.85" customHeight="1" s="29">
      <c r="A62" s="43" t="inlineStr">
        <is>
          <t>DRV-WBE718-12</t>
        </is>
      </c>
      <c r="B62" s="43" t="inlineStr">
        <is>
          <t>DRV-WBE718</t>
        </is>
      </c>
      <c r="C62" s="43" t="inlineStr">
        <is>
          <t>Support</t>
        </is>
      </c>
      <c r="D62" s="51" t="inlineStr">
        <is>
          <t>Overdrive/Drive 24/7 2h SLA + NBD RMA - 1 yr</t>
        </is>
      </c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>
        <v>12</v>
      </c>
      <c r="O62" s="43" t="n"/>
      <c r="P62" s="43" t="inlineStr">
        <is>
          <t>WBE718 datasheet DS-WBE718_02Apr26</t>
        </is>
      </c>
      <c r="Q62" s="43" t="n"/>
    </row>
    <row r="63" ht="23.85" customHeight="1" s="29">
      <c r="A63" s="43" t="inlineStr">
        <is>
          <t>DRV-WBE718-36</t>
        </is>
      </c>
      <c r="B63" s="43" t="inlineStr">
        <is>
          <t>DRV-WBE718</t>
        </is>
      </c>
      <c r="C63" s="43" t="inlineStr">
        <is>
          <t>Support</t>
        </is>
      </c>
      <c r="D63" s="51" t="inlineStr">
        <is>
          <t>Overdrive/Drive 24/7 2h SLA + NBD RMA - 3 yr</t>
        </is>
      </c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>
        <v>36</v>
      </c>
      <c r="O63" s="43" t="n"/>
      <c r="P63" s="43" t="inlineStr">
        <is>
          <t>WBE718 datasheet DS-WBE718_02Apr26</t>
        </is>
      </c>
      <c r="Q63" s="43" t="n"/>
    </row>
    <row r="64" ht="23.85" customHeight="1" s="29">
      <c r="A64" s="43" t="inlineStr">
        <is>
          <t>DRV-WBE718-60</t>
        </is>
      </c>
      <c r="B64" s="43" t="inlineStr">
        <is>
          <t>DRV-WBE718</t>
        </is>
      </c>
      <c r="C64" s="43" t="inlineStr">
        <is>
          <t>Support</t>
        </is>
      </c>
      <c r="D64" s="51" t="inlineStr">
        <is>
          <t>Overdrive/Drive 24/7 2h SLA + NBD RMA - 5 yr</t>
        </is>
      </c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>
        <v>60</v>
      </c>
      <c r="O64" s="43" t="n"/>
      <c r="P64" s="43" t="inlineStr">
        <is>
          <t>WBE718 datasheet DS-WBE718_02Apr26</t>
        </is>
      </c>
      <c r="Q64" s="43" t="n"/>
    </row>
    <row r="65" ht="15" customHeight="1" s="29">
      <c r="A65" s="43" t="inlineStr">
        <is>
          <t>SPR-WBE758-12</t>
        </is>
      </c>
      <c r="B65" s="43" t="inlineStr">
        <is>
          <t>SPR-WBE758</t>
        </is>
      </c>
      <c r="C65" s="43" t="inlineStr">
        <is>
          <t>Support</t>
        </is>
      </c>
      <c r="D65" s="43" t="inlineStr">
        <is>
          <t>Sprint 24/5 + advance RMA - 1 yr</t>
        </is>
      </c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>
        <v>12</v>
      </c>
      <c r="O65" s="43" t="n"/>
      <c r="P65" s="43" t="inlineStr">
        <is>
          <t>WBE758 datasheet D-WBE758_29Jan24</t>
        </is>
      </c>
      <c r="Q65" s="43" t="n"/>
    </row>
    <row r="66" ht="15" customHeight="1" s="29">
      <c r="A66" s="43" t="inlineStr">
        <is>
          <t>SPR-WBE758-36</t>
        </is>
      </c>
      <c r="B66" s="43" t="inlineStr">
        <is>
          <t>SPR-WBE758</t>
        </is>
      </c>
      <c r="C66" s="43" t="inlineStr">
        <is>
          <t>Support</t>
        </is>
      </c>
      <c r="D66" s="43" t="inlineStr">
        <is>
          <t>Sprint 24/5 + advance RMA - 3 yr</t>
        </is>
      </c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>
        <v>36</v>
      </c>
      <c r="O66" s="43" t="n"/>
      <c r="P66" s="43" t="inlineStr">
        <is>
          <t>WBE758 datasheet D-WBE758_29Jan24</t>
        </is>
      </c>
      <c r="Q66" s="43" t="n"/>
    </row>
    <row r="67" ht="15" customHeight="1" s="29">
      <c r="A67" s="43" t="inlineStr">
        <is>
          <t>SPR-WBE758-60</t>
        </is>
      </c>
      <c r="B67" s="43" t="inlineStr">
        <is>
          <t>SPR-WBE758</t>
        </is>
      </c>
      <c r="C67" s="43" t="inlineStr">
        <is>
          <t>Support</t>
        </is>
      </c>
      <c r="D67" s="43" t="inlineStr">
        <is>
          <t>Sprint 24/5 + advance RMA - 5 yr</t>
        </is>
      </c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>
        <v>60</v>
      </c>
      <c r="O67" s="43" t="n"/>
      <c r="P67" s="43" t="inlineStr">
        <is>
          <t>WBE758 datasheet D-WBE758_29Jan24</t>
        </is>
      </c>
      <c r="Q67" s="43" t="n"/>
    </row>
    <row r="68" ht="23.85" customHeight="1" s="29">
      <c r="A68" s="43" t="inlineStr">
        <is>
          <t>DRV-WBE758-12</t>
        </is>
      </c>
      <c r="B68" s="43" t="inlineStr">
        <is>
          <t>DRV-WBE758</t>
        </is>
      </c>
      <c r="C68" s="43" t="inlineStr">
        <is>
          <t>Support</t>
        </is>
      </c>
      <c r="D68" s="51" t="inlineStr">
        <is>
          <t>Overdrive/Drive 24/7 2h SLA + NBD RMA - 1 yr</t>
        </is>
      </c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>
        <v>12</v>
      </c>
      <c r="O68" s="43" t="n"/>
      <c r="P68" s="43" t="inlineStr">
        <is>
          <t>WBE758 datasheet D-WBE758_29Jan24</t>
        </is>
      </c>
      <c r="Q68" s="43" t="n"/>
    </row>
    <row r="69" ht="23.85" customHeight="1" s="29">
      <c r="A69" s="43" t="inlineStr">
        <is>
          <t>DRV-WBE758-36</t>
        </is>
      </c>
      <c r="B69" s="43" t="inlineStr">
        <is>
          <t>DRV-WBE758</t>
        </is>
      </c>
      <c r="C69" s="43" t="inlineStr">
        <is>
          <t>Support</t>
        </is>
      </c>
      <c r="D69" s="51" t="inlineStr">
        <is>
          <t>Overdrive/Drive 24/7 2h SLA + NBD RMA - 3 yr</t>
        </is>
      </c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>
        <v>36</v>
      </c>
      <c r="O69" s="43" t="n"/>
      <c r="P69" s="43" t="inlineStr">
        <is>
          <t>WBE758 datasheet D-WBE758_29Jan24</t>
        </is>
      </c>
      <c r="Q69" s="43" t="n"/>
    </row>
    <row r="70" ht="23.85" customHeight="1" s="29">
      <c r="A70" s="43" t="inlineStr">
        <is>
          <t>DRV-WBE758-60</t>
        </is>
      </c>
      <c r="B70" s="43" t="inlineStr">
        <is>
          <t>DRV-WBE758</t>
        </is>
      </c>
      <c r="C70" s="43" t="inlineStr">
        <is>
          <t>Support</t>
        </is>
      </c>
      <c r="D70" s="51" t="inlineStr">
        <is>
          <t>Overdrive/Drive 24/7 2h SLA + NBD RMA - 5 yr</t>
        </is>
      </c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>
        <v>60</v>
      </c>
      <c r="O70" s="43" t="n"/>
      <c r="P70" s="43" t="inlineStr">
        <is>
          <t>WBE758 datasheet D-WBE758_29Jan24</t>
        </is>
      </c>
      <c r="Q70" s="43" t="n"/>
    </row>
    <row r="71" ht="23.85" customHeight="1" s="29">
      <c r="A71" s="43" t="inlineStr">
        <is>
          <t>NGS25G-SR-OC</t>
        </is>
      </c>
      <c r="B71" s="43" t="inlineStr">
        <is>
          <t>NGS25G-SR-OC</t>
        </is>
      </c>
      <c r="C71" s="43" t="inlineStr">
        <is>
          <t>Optic</t>
        </is>
      </c>
      <c r="D71" s="51" t="inlineStr">
        <is>
          <t>25GBASE-SR SFP28, multimode, 850 nm</t>
        </is>
      </c>
      <c r="E71" s="43" t="inlineStr">
        <is>
          <t>SFP28</t>
        </is>
      </c>
      <c r="F71" s="43" t="n">
        <v>25</v>
      </c>
      <c r="G71" s="43" t="inlineStr">
        <is>
          <t>MMF</t>
        </is>
      </c>
      <c r="H71" s="43" t="inlineStr">
        <is>
          <t>LC duplex</t>
        </is>
      </c>
      <c r="I71" s="43" t="n">
        <v>100</v>
      </c>
      <c r="J71" s="43" t="inlineStr">
        <is>
          <t>OM3 70m; OM4 100m</t>
        </is>
      </c>
      <c r="K71" s="43" t="n"/>
      <c r="L71" s="43" t="n"/>
      <c r="M71" s="43" t="n"/>
      <c r="N71" s="43" t="n"/>
      <c r="O71" s="43" t="inlineStr">
        <is>
          <t>Limited lifetime (optic.ca)</t>
        </is>
      </c>
      <c r="P71" s="43" t="inlineStr">
        <is>
          <t>NETGEAR KB 000066694 (optic.ca, updated 2025-09-23)</t>
        </is>
      </c>
      <c r="Q71" s="43" t="inlineStr">
        <is>
          <t>Third-party: optic.ca, NETGEAR certified. Order from optic.ca</t>
        </is>
      </c>
    </row>
    <row r="72" ht="23.85" customHeight="1" s="29">
      <c r="A72" s="43" t="inlineStr">
        <is>
          <t>NGS25G-LR-OC</t>
        </is>
      </c>
      <c r="B72" s="43" t="inlineStr">
        <is>
          <t>NGS25G-LR-OC</t>
        </is>
      </c>
      <c r="C72" s="43" t="inlineStr">
        <is>
          <t>Optic</t>
        </is>
      </c>
      <c r="D72" s="51" t="inlineStr">
        <is>
          <t>25GBASE-LR SFP28, single mode, 1310 nm</t>
        </is>
      </c>
      <c r="E72" s="43" t="inlineStr">
        <is>
          <t>SFP28</t>
        </is>
      </c>
      <c r="F72" s="43" t="n">
        <v>25</v>
      </c>
      <c r="G72" s="43" t="inlineStr">
        <is>
          <t>SMF</t>
        </is>
      </c>
      <c r="H72" s="43" t="inlineStr">
        <is>
          <t>LC duplex</t>
        </is>
      </c>
      <c r="I72" s="43" t="n">
        <v>10000</v>
      </c>
      <c r="J72" s="43" t="inlineStr">
        <is>
          <t>G.652 SMF</t>
        </is>
      </c>
      <c r="K72" s="43" t="n"/>
      <c r="L72" s="43" t="n"/>
      <c r="M72" s="43" t="n"/>
      <c r="N72" s="43" t="n"/>
      <c r="O72" s="43" t="inlineStr">
        <is>
          <t>Limited lifetime (optic.ca)</t>
        </is>
      </c>
      <c r="P72" s="43" t="inlineStr">
        <is>
          <t>NETGEAR KB 000066694 (optic.ca, updated 2025-09-23)</t>
        </is>
      </c>
      <c r="Q72" s="43" t="inlineStr">
        <is>
          <t>Third-party: optic.ca, NETGEAR certified. Order from optic.ca</t>
        </is>
      </c>
    </row>
    <row r="73" ht="23.85" customHeight="1" s="29">
      <c r="A73" s="43" t="inlineStr">
        <is>
          <t>NGQ100G-SR4-OC</t>
        </is>
      </c>
      <c r="B73" s="43" t="inlineStr">
        <is>
          <t>NGQ100G-SR4-OC</t>
        </is>
      </c>
      <c r="C73" s="43" t="inlineStr">
        <is>
          <t>Optic</t>
        </is>
      </c>
      <c r="D73" s="51" t="inlineStr">
        <is>
          <t>100GBASE-SR4 QSFP28, multimode, 850 nm</t>
        </is>
      </c>
      <c r="E73" s="43" t="inlineStr">
        <is>
          <t>QSFP28</t>
        </is>
      </c>
      <c r="F73" s="43" t="n">
        <v>100</v>
      </c>
      <c r="G73" s="43" t="inlineStr">
        <is>
          <t>MMF</t>
        </is>
      </c>
      <c r="H73" s="43" t="inlineStr">
        <is>
          <t>MPO-12/UPC</t>
        </is>
      </c>
      <c r="I73" s="43" t="n">
        <v>100</v>
      </c>
      <c r="J73" s="43" t="inlineStr">
        <is>
          <t>OM3 70m; OM4 100m; 8-fiber parallel (MPO)</t>
        </is>
      </c>
      <c r="K73" s="43" t="n"/>
      <c r="L73" s="43" t="n"/>
      <c r="M73" s="43" t="n"/>
      <c r="N73" s="43" t="n"/>
      <c r="O73" s="43" t="inlineStr">
        <is>
          <t>Limited lifetime (optic.ca)</t>
        </is>
      </c>
      <c r="P73" s="43" t="inlineStr">
        <is>
          <t>NETGEAR KB 000066694 (optic.ca, updated 2025-09-23)</t>
        </is>
      </c>
      <c r="Q73" s="43" t="inlineStr">
        <is>
          <t>Third-party: optic.ca, NETGEAR certified. Order from optic.ca</t>
        </is>
      </c>
    </row>
    <row r="74" ht="23.85" customHeight="1" s="29">
      <c r="A74" s="43" t="inlineStr">
        <is>
          <t>NGQ100G-LR4-OC</t>
        </is>
      </c>
      <c r="B74" s="43" t="inlineStr">
        <is>
          <t>NGQ100G-LR4-OC</t>
        </is>
      </c>
      <c r="C74" s="43" t="inlineStr">
        <is>
          <t>Optic</t>
        </is>
      </c>
      <c r="D74" s="51" t="inlineStr">
        <is>
          <t>100GBASE-LR4 QSFP28, single mode, LWDM 1295-1309 nm</t>
        </is>
      </c>
      <c r="E74" s="43" t="inlineStr">
        <is>
          <t>QSFP28</t>
        </is>
      </c>
      <c r="F74" s="43" t="n">
        <v>100</v>
      </c>
      <c r="G74" s="43" t="inlineStr">
        <is>
          <t>SMF</t>
        </is>
      </c>
      <c r="H74" s="43" t="inlineStr">
        <is>
          <t>LC duplex</t>
        </is>
      </c>
      <c r="I74" s="43" t="n">
        <v>10000</v>
      </c>
      <c r="J74" s="43" t="inlineStr">
        <is>
          <t>G.652 SMF</t>
        </is>
      </c>
      <c r="K74" s="43" t="n"/>
      <c r="L74" s="43" t="n"/>
      <c r="M74" s="43" t="n"/>
      <c r="N74" s="43" t="n"/>
      <c r="O74" s="43" t="inlineStr">
        <is>
          <t>Limited lifetime (optic.ca)</t>
        </is>
      </c>
      <c r="P74" s="43" t="inlineStr">
        <is>
          <t>NETGEAR KB 000066694 (optic.ca, updated 2025-09-23)</t>
        </is>
      </c>
      <c r="Q74" s="43" t="inlineStr">
        <is>
          <t>Third-party: optic.ca, NETGEAR certified. Order from optic.ca</t>
        </is>
      </c>
    </row>
    <row r="75" ht="23.85" customHeight="1" s="29">
      <c r="A75" s="43" t="inlineStr">
        <is>
          <t>NGQ100G-PSM4-OC</t>
        </is>
      </c>
      <c r="B75" s="43" t="inlineStr">
        <is>
          <t>NGQ100G-PSM4-OC</t>
        </is>
      </c>
      <c r="C75" s="43" t="inlineStr">
        <is>
          <t>Optic</t>
        </is>
      </c>
      <c r="D75" s="51" t="inlineStr">
        <is>
          <t>100GBASE-PSM4 QSFP28, single mode parallel, 1310 nm</t>
        </is>
      </c>
      <c r="E75" s="43" t="inlineStr">
        <is>
          <t>QSFP28</t>
        </is>
      </c>
      <c r="F75" s="43" t="n">
        <v>100</v>
      </c>
      <c r="G75" s="43" t="inlineStr">
        <is>
          <t>SMF</t>
        </is>
      </c>
      <c r="H75" s="43" t="inlineStr">
        <is>
          <t>MPO-12/APC</t>
        </is>
      </c>
      <c r="I75" s="43" t="n">
        <v>500</v>
      </c>
      <c r="J75" s="43" t="inlineStr">
        <is>
          <t>G.652 SMF; 8-fiber parallel (MPO APC)</t>
        </is>
      </c>
      <c r="K75" s="43" t="n"/>
      <c r="L75" s="43" t="n"/>
      <c r="M75" s="43" t="n"/>
      <c r="N75" s="43" t="n"/>
      <c r="O75" s="43" t="inlineStr">
        <is>
          <t>Limited lifetime (optic.ca)</t>
        </is>
      </c>
      <c r="P75" s="43" t="inlineStr">
        <is>
          <t>NETGEAR KB 000066694 (optic.ca, updated 2025-09-23)</t>
        </is>
      </c>
      <c r="Q75" s="43" t="inlineStr">
        <is>
          <t>Third-party: optic.ca, NETGEAR certified. Order from optic.ca</t>
        </is>
      </c>
    </row>
    <row r="76" ht="23.85" customHeight="1" s="29">
      <c r="A76" s="43" t="inlineStr">
        <is>
          <t>NGS25G-CU1M-OC</t>
        </is>
      </c>
      <c r="B76" s="43" t="inlineStr">
        <is>
          <t>NGS25G-CUxM-OC</t>
        </is>
      </c>
      <c r="C76" s="43" t="inlineStr">
        <is>
          <t>DAC</t>
        </is>
      </c>
      <c r="D76" s="51" t="inlineStr">
        <is>
          <t>25G SFP28 DAC 1m, passive copper</t>
        </is>
      </c>
      <c r="E76" s="43" t="inlineStr">
        <is>
          <t>SFP28</t>
        </is>
      </c>
      <c r="F76" s="43" t="n">
        <v>25</v>
      </c>
      <c r="G76" s="43" t="inlineStr">
        <is>
          <t>DAC passive</t>
        </is>
      </c>
      <c r="H76" s="43" t="inlineStr">
        <is>
          <t>SFP28</t>
        </is>
      </c>
      <c r="I76" s="43" t="n">
        <v>1</v>
      </c>
      <c r="J76" s="43" t="n"/>
      <c r="K76" s="43" t="n"/>
      <c r="L76" s="43" t="n"/>
      <c r="M76" s="43" t="n"/>
      <c r="N76" s="43" t="n"/>
      <c r="O76" s="43" t="inlineStr">
        <is>
          <t>Limited lifetime (optic.ca)</t>
        </is>
      </c>
      <c r="P76" s="43" t="inlineStr">
        <is>
          <t>NETGEAR KB 000066694 (optic.ca, updated 2025-09-23)</t>
        </is>
      </c>
      <c r="Q76" s="43" t="inlineStr">
        <is>
          <t>Third-party: optic.ca, NETGEAR certified. Order from optic.ca. Custom lengths to 5m on request</t>
        </is>
      </c>
    </row>
    <row r="77" ht="23.85" customHeight="1" s="29">
      <c r="A77" s="43" t="inlineStr">
        <is>
          <t>NGS25G-CU2M-OC</t>
        </is>
      </c>
      <c r="B77" s="43" t="inlineStr">
        <is>
          <t>NGS25G-CUxM-OC</t>
        </is>
      </c>
      <c r="C77" s="43" t="inlineStr">
        <is>
          <t>DAC</t>
        </is>
      </c>
      <c r="D77" s="51" t="inlineStr">
        <is>
          <t>25G SFP28 DAC 2m, passive copper</t>
        </is>
      </c>
      <c r="E77" s="43" t="inlineStr">
        <is>
          <t>SFP28</t>
        </is>
      </c>
      <c r="F77" s="43" t="n">
        <v>25</v>
      </c>
      <c r="G77" s="43" t="inlineStr">
        <is>
          <t>DAC passive</t>
        </is>
      </c>
      <c r="H77" s="43" t="inlineStr">
        <is>
          <t>SFP28</t>
        </is>
      </c>
      <c r="I77" s="43" t="n">
        <v>2</v>
      </c>
      <c r="J77" s="43" t="n"/>
      <c r="K77" s="43" t="n"/>
      <c r="L77" s="43" t="n"/>
      <c r="M77" s="43" t="n"/>
      <c r="N77" s="43" t="n"/>
      <c r="O77" s="43" t="inlineStr">
        <is>
          <t>Limited lifetime (optic.ca)</t>
        </is>
      </c>
      <c r="P77" s="43" t="inlineStr">
        <is>
          <t>NETGEAR KB 000066694 (optic.ca, updated 2025-09-23)</t>
        </is>
      </c>
      <c r="Q77" s="43" t="inlineStr">
        <is>
          <t>Third-party: optic.ca, NETGEAR certified. Order from optic.ca. Custom lengths to 5m on request</t>
        </is>
      </c>
    </row>
    <row r="78" ht="23.85" customHeight="1" s="29">
      <c r="A78" s="43" t="inlineStr">
        <is>
          <t>NGS25G-CU3M-OC</t>
        </is>
      </c>
      <c r="B78" s="43" t="inlineStr">
        <is>
          <t>NGS25G-CUxM-OC</t>
        </is>
      </c>
      <c r="C78" s="43" t="inlineStr">
        <is>
          <t>DAC</t>
        </is>
      </c>
      <c r="D78" s="51" t="inlineStr">
        <is>
          <t>25G SFP28 DAC 3m, passive copper</t>
        </is>
      </c>
      <c r="E78" s="43" t="inlineStr">
        <is>
          <t>SFP28</t>
        </is>
      </c>
      <c r="F78" s="43" t="n">
        <v>25</v>
      </c>
      <c r="G78" s="43" t="inlineStr">
        <is>
          <t>DAC passive</t>
        </is>
      </c>
      <c r="H78" s="43" t="inlineStr">
        <is>
          <t>SFP28</t>
        </is>
      </c>
      <c r="I78" s="43" t="n">
        <v>3</v>
      </c>
      <c r="J78" s="43" t="n"/>
      <c r="K78" s="43" t="n"/>
      <c r="L78" s="43" t="n"/>
      <c r="M78" s="43" t="n"/>
      <c r="N78" s="43" t="n"/>
      <c r="O78" s="43" t="inlineStr">
        <is>
          <t>Limited lifetime (optic.ca)</t>
        </is>
      </c>
      <c r="P78" s="43" t="inlineStr">
        <is>
          <t>NETGEAR KB 000066694 (optic.ca, updated 2025-09-23)</t>
        </is>
      </c>
      <c r="Q78" s="43" t="inlineStr">
        <is>
          <t>Third-party: optic.ca, NETGEAR certified. Order from optic.ca. Custom lengths to 5m on request</t>
        </is>
      </c>
    </row>
    <row r="79" ht="23.85" customHeight="1" s="29">
      <c r="A79" s="43" t="inlineStr">
        <is>
          <t>NGS25G-CU5M-OC</t>
        </is>
      </c>
      <c r="B79" s="43" t="inlineStr">
        <is>
          <t>NGS25G-CUxM-OC</t>
        </is>
      </c>
      <c r="C79" s="43" t="inlineStr">
        <is>
          <t>DAC</t>
        </is>
      </c>
      <c r="D79" s="51" t="inlineStr">
        <is>
          <t>25G SFP28 DAC 5m, passive copper</t>
        </is>
      </c>
      <c r="E79" s="43" t="inlineStr">
        <is>
          <t>SFP28</t>
        </is>
      </c>
      <c r="F79" s="43" t="n">
        <v>25</v>
      </c>
      <c r="G79" s="43" t="inlineStr">
        <is>
          <t>DAC passive</t>
        </is>
      </c>
      <c r="H79" s="43" t="inlineStr">
        <is>
          <t>SFP28</t>
        </is>
      </c>
      <c r="I79" s="43" t="n">
        <v>5</v>
      </c>
      <c r="J79" s="43" t="n"/>
      <c r="K79" s="43" t="n"/>
      <c r="L79" s="43" t="n"/>
      <c r="M79" s="43" t="n"/>
      <c r="N79" s="43" t="n"/>
      <c r="O79" s="43" t="inlineStr">
        <is>
          <t>Limited lifetime (optic.ca)</t>
        </is>
      </c>
      <c r="P79" s="43" t="inlineStr">
        <is>
          <t>NETGEAR KB 000066694 (optic.ca, updated 2025-09-23)</t>
        </is>
      </c>
      <c r="Q79" s="43" t="inlineStr">
        <is>
          <t>Third-party: optic.ca, NETGEAR certified. Order from optic.ca. Custom lengths to 5m on request</t>
        </is>
      </c>
    </row>
    <row r="80" ht="23.85" customHeight="1" s="29">
      <c r="A80" s="43" t="inlineStr">
        <is>
          <t>NGS25G-AO1M-OC</t>
        </is>
      </c>
      <c r="B80" s="43" t="inlineStr">
        <is>
          <t>NGS25G-AOxM-OC</t>
        </is>
      </c>
      <c r="C80" s="43" t="inlineStr">
        <is>
          <t>AOC</t>
        </is>
      </c>
      <c r="D80" s="51" t="inlineStr">
        <is>
          <t>25G SFP28 1m, active optical cable</t>
        </is>
      </c>
      <c r="E80" s="43" t="inlineStr">
        <is>
          <t>SFP28</t>
        </is>
      </c>
      <c r="F80" s="43" t="n">
        <v>25</v>
      </c>
      <c r="G80" s="43" t="inlineStr">
        <is>
          <t>AOC</t>
        </is>
      </c>
      <c r="H80" s="43" t="inlineStr">
        <is>
          <t>SFP28</t>
        </is>
      </c>
      <c r="I80" s="43" t="n">
        <v>1</v>
      </c>
      <c r="J80" s="43" t="n"/>
      <c r="K80" s="43" t="n"/>
      <c r="L80" s="43" t="n"/>
      <c r="M80" s="43" t="n"/>
      <c r="N80" s="43" t="n"/>
      <c r="O80" s="43" t="inlineStr">
        <is>
          <t>Limited lifetime (optic.ca)</t>
        </is>
      </c>
      <c r="P80" s="43" t="inlineStr">
        <is>
          <t>NETGEAR KB 000066694 (optic.ca, updated 2025-09-23)</t>
        </is>
      </c>
      <c r="Q80" s="43" t="inlineStr">
        <is>
          <t>Third-party: optic.ca, NETGEAR certified. Order from optic.ca. Custom lengths to 30m on request</t>
        </is>
      </c>
    </row>
    <row r="81" ht="23.85" customHeight="1" s="29">
      <c r="A81" s="43" t="inlineStr">
        <is>
          <t>NGS25G-AO2M-OC</t>
        </is>
      </c>
      <c r="B81" s="43" t="inlineStr">
        <is>
          <t>NGS25G-AOxM-OC</t>
        </is>
      </c>
      <c r="C81" s="43" t="inlineStr">
        <is>
          <t>AOC</t>
        </is>
      </c>
      <c r="D81" s="51" t="inlineStr">
        <is>
          <t>25G SFP28 2m, active optical cable</t>
        </is>
      </c>
      <c r="E81" s="43" t="inlineStr">
        <is>
          <t>SFP28</t>
        </is>
      </c>
      <c r="F81" s="43" t="n">
        <v>25</v>
      </c>
      <c r="G81" s="43" t="inlineStr">
        <is>
          <t>AOC</t>
        </is>
      </c>
      <c r="H81" s="43" t="inlineStr">
        <is>
          <t>SFP28</t>
        </is>
      </c>
      <c r="I81" s="43" t="n">
        <v>2</v>
      </c>
      <c r="J81" s="43" t="n"/>
      <c r="K81" s="43" t="n"/>
      <c r="L81" s="43" t="n"/>
      <c r="M81" s="43" t="n"/>
      <c r="N81" s="43" t="n"/>
      <c r="O81" s="43" t="inlineStr">
        <is>
          <t>Limited lifetime (optic.ca)</t>
        </is>
      </c>
      <c r="P81" s="43" t="inlineStr">
        <is>
          <t>NETGEAR KB 000066694 (optic.ca, updated 2025-09-23)</t>
        </is>
      </c>
      <c r="Q81" s="43" t="inlineStr">
        <is>
          <t>Third-party: optic.ca, NETGEAR certified. Order from optic.ca. Custom lengths to 30m on request</t>
        </is>
      </c>
    </row>
    <row r="82" ht="23.85" customHeight="1" s="29">
      <c r="A82" s="43" t="inlineStr">
        <is>
          <t>NGS25G-AO3M-OC</t>
        </is>
      </c>
      <c r="B82" s="43" t="inlineStr">
        <is>
          <t>NGS25G-AOxM-OC</t>
        </is>
      </c>
      <c r="C82" s="43" t="inlineStr">
        <is>
          <t>AOC</t>
        </is>
      </c>
      <c r="D82" s="51" t="inlineStr">
        <is>
          <t>25G SFP28 3m, active optical cable</t>
        </is>
      </c>
      <c r="E82" s="43" t="inlineStr">
        <is>
          <t>SFP28</t>
        </is>
      </c>
      <c r="F82" s="43" t="n">
        <v>25</v>
      </c>
      <c r="G82" s="43" t="inlineStr">
        <is>
          <t>AOC</t>
        </is>
      </c>
      <c r="H82" s="43" t="inlineStr">
        <is>
          <t>SFP28</t>
        </is>
      </c>
      <c r="I82" s="43" t="n">
        <v>3</v>
      </c>
      <c r="J82" s="43" t="n"/>
      <c r="K82" s="43" t="n"/>
      <c r="L82" s="43" t="n"/>
      <c r="M82" s="43" t="n"/>
      <c r="N82" s="43" t="n"/>
      <c r="O82" s="43" t="inlineStr">
        <is>
          <t>Limited lifetime (optic.ca)</t>
        </is>
      </c>
      <c r="P82" s="43" t="inlineStr">
        <is>
          <t>NETGEAR KB 000066694 (optic.ca, updated 2025-09-23)</t>
        </is>
      </c>
      <c r="Q82" s="43" t="inlineStr">
        <is>
          <t>Third-party: optic.ca, NETGEAR certified. Order from optic.ca. Custom lengths to 30m on request</t>
        </is>
      </c>
    </row>
    <row r="83" ht="23.85" customHeight="1" s="29">
      <c r="A83" s="43" t="inlineStr">
        <is>
          <t>NGS25G-AO5M-OC</t>
        </is>
      </c>
      <c r="B83" s="43" t="inlineStr">
        <is>
          <t>NGS25G-AOxM-OC</t>
        </is>
      </c>
      <c r="C83" s="43" t="inlineStr">
        <is>
          <t>AOC</t>
        </is>
      </c>
      <c r="D83" s="51" t="inlineStr">
        <is>
          <t>25G SFP28 5m, active optical cable</t>
        </is>
      </c>
      <c r="E83" s="43" t="inlineStr">
        <is>
          <t>SFP28</t>
        </is>
      </c>
      <c r="F83" s="43" t="n">
        <v>25</v>
      </c>
      <c r="G83" s="43" t="inlineStr">
        <is>
          <t>AOC</t>
        </is>
      </c>
      <c r="H83" s="43" t="inlineStr">
        <is>
          <t>SFP28</t>
        </is>
      </c>
      <c r="I83" s="43" t="n">
        <v>5</v>
      </c>
      <c r="J83" s="43" t="n"/>
      <c r="K83" s="43" t="n"/>
      <c r="L83" s="43" t="n"/>
      <c r="M83" s="43" t="n"/>
      <c r="N83" s="43" t="n"/>
      <c r="O83" s="43" t="inlineStr">
        <is>
          <t>Limited lifetime (optic.ca)</t>
        </is>
      </c>
      <c r="P83" s="43" t="inlineStr">
        <is>
          <t>NETGEAR KB 000066694 (optic.ca, updated 2025-09-23)</t>
        </is>
      </c>
      <c r="Q83" s="43" t="inlineStr">
        <is>
          <t>Third-party: optic.ca, NETGEAR certified. Order from optic.ca. Custom lengths to 30m on request</t>
        </is>
      </c>
    </row>
    <row r="84" ht="23.85" customHeight="1" s="29">
      <c r="A84" s="43" t="inlineStr">
        <is>
          <t>NGS25G-AO7M-OC</t>
        </is>
      </c>
      <c r="B84" s="43" t="inlineStr">
        <is>
          <t>NGS25G-AOxM-OC</t>
        </is>
      </c>
      <c r="C84" s="43" t="inlineStr">
        <is>
          <t>AOC</t>
        </is>
      </c>
      <c r="D84" s="51" t="inlineStr">
        <is>
          <t>25G SFP28 7m, active optical cable</t>
        </is>
      </c>
      <c r="E84" s="43" t="inlineStr">
        <is>
          <t>SFP28</t>
        </is>
      </c>
      <c r="F84" s="43" t="n">
        <v>25</v>
      </c>
      <c r="G84" s="43" t="inlineStr">
        <is>
          <t>AOC</t>
        </is>
      </c>
      <c r="H84" s="43" t="inlineStr">
        <is>
          <t>SFP28</t>
        </is>
      </c>
      <c r="I84" s="43" t="n">
        <v>7</v>
      </c>
      <c r="J84" s="43" t="n"/>
      <c r="K84" s="43" t="n"/>
      <c r="L84" s="43" t="n"/>
      <c r="M84" s="43" t="n"/>
      <c r="N84" s="43" t="n"/>
      <c r="O84" s="43" t="inlineStr">
        <is>
          <t>Limited lifetime (optic.ca)</t>
        </is>
      </c>
      <c r="P84" s="43" t="inlineStr">
        <is>
          <t>NETGEAR KB 000066694 (optic.ca, updated 2025-09-23)</t>
        </is>
      </c>
      <c r="Q84" s="43" t="inlineStr">
        <is>
          <t>Third-party: optic.ca, NETGEAR certified. Order from optic.ca. Custom lengths to 30m on request</t>
        </is>
      </c>
    </row>
    <row r="85" ht="23.85" customHeight="1" s="29">
      <c r="A85" s="43" t="inlineStr">
        <is>
          <t>NGS25G-AO10M-OC</t>
        </is>
      </c>
      <c r="B85" s="43" t="inlineStr">
        <is>
          <t>NGS25G-AOxM-OC</t>
        </is>
      </c>
      <c r="C85" s="43" t="inlineStr">
        <is>
          <t>AOC</t>
        </is>
      </c>
      <c r="D85" s="51" t="inlineStr">
        <is>
          <t>25G SFP28 10m, active optical cable</t>
        </is>
      </c>
      <c r="E85" s="43" t="inlineStr">
        <is>
          <t>SFP28</t>
        </is>
      </c>
      <c r="F85" s="43" t="n">
        <v>25</v>
      </c>
      <c r="G85" s="43" t="inlineStr">
        <is>
          <t>AOC</t>
        </is>
      </c>
      <c r="H85" s="43" t="inlineStr">
        <is>
          <t>SFP28</t>
        </is>
      </c>
      <c r="I85" s="43" t="n">
        <v>10</v>
      </c>
      <c r="J85" s="43" t="n"/>
      <c r="K85" s="43" t="n"/>
      <c r="L85" s="43" t="n"/>
      <c r="M85" s="43" t="n"/>
      <c r="N85" s="43" t="n"/>
      <c r="O85" s="43" t="inlineStr">
        <is>
          <t>Limited lifetime (optic.ca)</t>
        </is>
      </c>
      <c r="P85" s="43" t="inlineStr">
        <is>
          <t>NETGEAR KB 000066694 (optic.ca, updated 2025-09-23)</t>
        </is>
      </c>
      <c r="Q85" s="43" t="inlineStr">
        <is>
          <t>Third-party: optic.ca, NETGEAR certified. Order from optic.ca. Custom lengths to 30m on request</t>
        </is>
      </c>
    </row>
    <row r="86" ht="23.85" customHeight="1" s="29">
      <c r="A86" s="43" t="inlineStr">
        <is>
          <t>NGQ100G-CU1M-OC</t>
        </is>
      </c>
      <c r="B86" s="43" t="inlineStr">
        <is>
          <t>NGQ100G-CUxM-OC</t>
        </is>
      </c>
      <c r="C86" s="43" t="inlineStr">
        <is>
          <t>DAC</t>
        </is>
      </c>
      <c r="D86" s="51" t="inlineStr">
        <is>
          <t>100G QSFP28 DAC 1m, passive copper</t>
        </is>
      </c>
      <c r="E86" s="43" t="inlineStr">
        <is>
          <t>QSFP28</t>
        </is>
      </c>
      <c r="F86" s="43" t="n">
        <v>100</v>
      </c>
      <c r="G86" s="43" t="inlineStr">
        <is>
          <t>DAC passive</t>
        </is>
      </c>
      <c r="H86" s="43" t="inlineStr">
        <is>
          <t>QSFP28</t>
        </is>
      </c>
      <c r="I86" s="43" t="n">
        <v>1</v>
      </c>
      <c r="J86" s="43" t="n"/>
      <c r="K86" s="43" t="n"/>
      <c r="L86" s="43" t="n"/>
      <c r="M86" s="43" t="n"/>
      <c r="N86" s="43" t="n"/>
      <c r="O86" s="43" t="inlineStr">
        <is>
          <t>Limited lifetime (optic.ca)</t>
        </is>
      </c>
      <c r="P86" s="43" t="inlineStr">
        <is>
          <t>NETGEAR KB 000066694 (optic.ca, updated 2025-09-23)</t>
        </is>
      </c>
      <c r="Q86" s="43" t="inlineStr">
        <is>
          <t>Third-party: optic.ca, NETGEAR certified. Order from optic.ca. Custom lengths to 5m on request</t>
        </is>
      </c>
    </row>
    <row r="87" ht="23.85" customHeight="1" s="29">
      <c r="A87" s="43" t="inlineStr">
        <is>
          <t>NGQ100G-CU2M-OC</t>
        </is>
      </c>
      <c r="B87" s="43" t="inlineStr">
        <is>
          <t>NGQ100G-CUxM-OC</t>
        </is>
      </c>
      <c r="C87" s="43" t="inlineStr">
        <is>
          <t>DAC</t>
        </is>
      </c>
      <c r="D87" s="51" t="inlineStr">
        <is>
          <t>100G QSFP28 DAC 2m, passive copper</t>
        </is>
      </c>
      <c r="E87" s="43" t="inlineStr">
        <is>
          <t>QSFP28</t>
        </is>
      </c>
      <c r="F87" s="43" t="n">
        <v>100</v>
      </c>
      <c r="G87" s="43" t="inlineStr">
        <is>
          <t>DAC passive</t>
        </is>
      </c>
      <c r="H87" s="43" t="inlineStr">
        <is>
          <t>QSFP28</t>
        </is>
      </c>
      <c r="I87" s="43" t="n">
        <v>2</v>
      </c>
      <c r="J87" s="43" t="n"/>
      <c r="K87" s="43" t="n"/>
      <c r="L87" s="43" t="n"/>
      <c r="M87" s="43" t="n"/>
      <c r="N87" s="43" t="n"/>
      <c r="O87" s="43" t="inlineStr">
        <is>
          <t>Limited lifetime (optic.ca)</t>
        </is>
      </c>
      <c r="P87" s="43" t="inlineStr">
        <is>
          <t>NETGEAR KB 000066694 (optic.ca, updated 2025-09-23)</t>
        </is>
      </c>
      <c r="Q87" s="43" t="inlineStr">
        <is>
          <t>Third-party: optic.ca, NETGEAR certified. Order from optic.ca. Custom lengths to 5m on request</t>
        </is>
      </c>
    </row>
    <row r="88" ht="23.85" customHeight="1" s="29">
      <c r="A88" s="43" t="inlineStr">
        <is>
          <t>NGQ100G-CU3M-OC</t>
        </is>
      </c>
      <c r="B88" s="43" t="inlineStr">
        <is>
          <t>NGQ100G-CUxM-OC</t>
        </is>
      </c>
      <c r="C88" s="43" t="inlineStr">
        <is>
          <t>DAC</t>
        </is>
      </c>
      <c r="D88" s="51" t="inlineStr">
        <is>
          <t>100G QSFP28 DAC 3m, passive copper</t>
        </is>
      </c>
      <c r="E88" s="43" t="inlineStr">
        <is>
          <t>QSFP28</t>
        </is>
      </c>
      <c r="F88" s="43" t="n">
        <v>100</v>
      </c>
      <c r="G88" s="43" t="inlineStr">
        <is>
          <t>DAC passive</t>
        </is>
      </c>
      <c r="H88" s="43" t="inlineStr">
        <is>
          <t>QSFP28</t>
        </is>
      </c>
      <c r="I88" s="43" t="n">
        <v>3</v>
      </c>
      <c r="J88" s="43" t="n"/>
      <c r="K88" s="43" t="n"/>
      <c r="L88" s="43" t="n"/>
      <c r="M88" s="43" t="n"/>
      <c r="N88" s="43" t="n"/>
      <c r="O88" s="43" t="inlineStr">
        <is>
          <t>Limited lifetime (optic.ca)</t>
        </is>
      </c>
      <c r="P88" s="43" t="inlineStr">
        <is>
          <t>NETGEAR KB 000066694 (optic.ca, updated 2025-09-23)</t>
        </is>
      </c>
      <c r="Q88" s="43" t="inlineStr">
        <is>
          <t>Third-party: optic.ca, NETGEAR certified. Order from optic.ca. Custom lengths to 5m on request</t>
        </is>
      </c>
    </row>
    <row r="89" ht="23.85" customHeight="1" s="29">
      <c r="A89" s="43" t="inlineStr">
        <is>
          <t>NGQ100G-CU5M-OC</t>
        </is>
      </c>
      <c r="B89" s="43" t="inlineStr">
        <is>
          <t>NGQ100G-CUxM-OC</t>
        </is>
      </c>
      <c r="C89" s="43" t="inlineStr">
        <is>
          <t>DAC</t>
        </is>
      </c>
      <c r="D89" s="51" t="inlineStr">
        <is>
          <t>100G QSFP28 DAC 5m, passive copper</t>
        </is>
      </c>
      <c r="E89" s="43" t="inlineStr">
        <is>
          <t>QSFP28</t>
        </is>
      </c>
      <c r="F89" s="43" t="n">
        <v>100</v>
      </c>
      <c r="G89" s="43" t="inlineStr">
        <is>
          <t>DAC passive</t>
        </is>
      </c>
      <c r="H89" s="43" t="inlineStr">
        <is>
          <t>QSFP28</t>
        </is>
      </c>
      <c r="I89" s="43" t="n">
        <v>5</v>
      </c>
      <c r="J89" s="43" t="n"/>
      <c r="K89" s="43" t="n"/>
      <c r="L89" s="43" t="n"/>
      <c r="M89" s="43" t="n"/>
      <c r="N89" s="43" t="n"/>
      <c r="O89" s="43" t="inlineStr">
        <is>
          <t>Limited lifetime (optic.ca)</t>
        </is>
      </c>
      <c r="P89" s="43" t="inlineStr">
        <is>
          <t>NETGEAR KB 000066694 (optic.ca, updated 2025-09-23)</t>
        </is>
      </c>
      <c r="Q89" s="43" t="inlineStr">
        <is>
          <t>Third-party: optic.ca, NETGEAR certified. Order from optic.ca. Custom lengths to 5m on request</t>
        </is>
      </c>
    </row>
    <row r="90" ht="23.85" customHeight="1" s="29">
      <c r="A90" s="43" t="inlineStr">
        <is>
          <t>NGQ100G-AO1M-OC</t>
        </is>
      </c>
      <c r="B90" s="43" t="inlineStr">
        <is>
          <t>NGQ100G-AOxM-OC</t>
        </is>
      </c>
      <c r="C90" s="43" t="inlineStr">
        <is>
          <t>AOC</t>
        </is>
      </c>
      <c r="D90" s="51" t="inlineStr">
        <is>
          <t>100G QSFP28 1m, active optical cable</t>
        </is>
      </c>
      <c r="E90" s="43" t="inlineStr">
        <is>
          <t>QSFP28</t>
        </is>
      </c>
      <c r="F90" s="43" t="n">
        <v>100</v>
      </c>
      <c r="G90" s="43" t="inlineStr">
        <is>
          <t>AOC</t>
        </is>
      </c>
      <c r="H90" s="43" t="inlineStr">
        <is>
          <t>QSFP28</t>
        </is>
      </c>
      <c r="I90" s="43" t="n">
        <v>1</v>
      </c>
      <c r="J90" s="43" t="n"/>
      <c r="K90" s="43" t="n"/>
      <c r="L90" s="43" t="n"/>
      <c r="M90" s="43" t="n"/>
      <c r="N90" s="43" t="n"/>
      <c r="O90" s="43" t="inlineStr">
        <is>
          <t>Limited lifetime (optic.ca)</t>
        </is>
      </c>
      <c r="P90" s="43" t="inlineStr">
        <is>
          <t>NETGEAR KB 000066694 (optic.ca, updated 2025-09-23)</t>
        </is>
      </c>
      <c r="Q90" s="43" t="inlineStr">
        <is>
          <t>Third-party: optic.ca, NETGEAR certified. Order from optic.ca. Custom lengths to 30m on request</t>
        </is>
      </c>
    </row>
    <row r="91" ht="23.85" customHeight="1" s="29">
      <c r="A91" s="43" t="inlineStr">
        <is>
          <t>NGQ100G-AO2M-OC</t>
        </is>
      </c>
      <c r="B91" s="43" t="inlineStr">
        <is>
          <t>NGQ100G-AOxM-OC</t>
        </is>
      </c>
      <c r="C91" s="43" t="inlineStr">
        <is>
          <t>AOC</t>
        </is>
      </c>
      <c r="D91" s="51" t="inlineStr">
        <is>
          <t>100G QSFP28 2m, active optical cable</t>
        </is>
      </c>
      <c r="E91" s="43" t="inlineStr">
        <is>
          <t>QSFP28</t>
        </is>
      </c>
      <c r="F91" s="43" t="n">
        <v>100</v>
      </c>
      <c r="G91" s="43" t="inlineStr">
        <is>
          <t>AOC</t>
        </is>
      </c>
      <c r="H91" s="43" t="inlineStr">
        <is>
          <t>QSFP28</t>
        </is>
      </c>
      <c r="I91" s="43" t="n">
        <v>2</v>
      </c>
      <c r="J91" s="43" t="n"/>
      <c r="K91" s="43" t="n"/>
      <c r="L91" s="43" t="n"/>
      <c r="M91" s="43" t="n"/>
      <c r="N91" s="43" t="n"/>
      <c r="O91" s="43" t="inlineStr">
        <is>
          <t>Limited lifetime (optic.ca)</t>
        </is>
      </c>
      <c r="P91" s="43" t="inlineStr">
        <is>
          <t>NETGEAR KB 000066694 (optic.ca, updated 2025-09-23)</t>
        </is>
      </c>
      <c r="Q91" s="43" t="inlineStr">
        <is>
          <t>Third-party: optic.ca, NETGEAR certified. Order from optic.ca. Custom lengths to 30m on request</t>
        </is>
      </c>
    </row>
    <row r="92" ht="23.85" customHeight="1" s="29">
      <c r="A92" s="43" t="inlineStr">
        <is>
          <t>NGQ100G-AO3M-OC</t>
        </is>
      </c>
      <c r="B92" s="43" t="inlineStr">
        <is>
          <t>NGQ100G-AOxM-OC</t>
        </is>
      </c>
      <c r="C92" s="43" t="inlineStr">
        <is>
          <t>AOC</t>
        </is>
      </c>
      <c r="D92" s="51" t="inlineStr">
        <is>
          <t>100G QSFP28 3m, active optical cable</t>
        </is>
      </c>
      <c r="E92" s="43" t="inlineStr">
        <is>
          <t>QSFP28</t>
        </is>
      </c>
      <c r="F92" s="43" t="n">
        <v>100</v>
      </c>
      <c r="G92" s="43" t="inlineStr">
        <is>
          <t>AOC</t>
        </is>
      </c>
      <c r="H92" s="43" t="inlineStr">
        <is>
          <t>QSFP28</t>
        </is>
      </c>
      <c r="I92" s="43" t="n">
        <v>3</v>
      </c>
      <c r="J92" s="43" t="n"/>
      <c r="K92" s="43" t="n"/>
      <c r="L92" s="43" t="n"/>
      <c r="M92" s="43" t="n"/>
      <c r="N92" s="43" t="n"/>
      <c r="O92" s="43" t="inlineStr">
        <is>
          <t>Limited lifetime (optic.ca)</t>
        </is>
      </c>
      <c r="P92" s="43" t="inlineStr">
        <is>
          <t>NETGEAR KB 000066694 (optic.ca, updated 2025-09-23)</t>
        </is>
      </c>
      <c r="Q92" s="43" t="inlineStr">
        <is>
          <t>Third-party: optic.ca, NETGEAR certified. Order from optic.ca. Custom lengths to 30m on request</t>
        </is>
      </c>
    </row>
    <row r="93" ht="23.85" customHeight="1" s="29">
      <c r="A93" s="43" t="inlineStr">
        <is>
          <t>NGQ100G-AO5M-OC</t>
        </is>
      </c>
      <c r="B93" s="43" t="inlineStr">
        <is>
          <t>NGQ100G-AOxM-OC</t>
        </is>
      </c>
      <c r="C93" s="43" t="inlineStr">
        <is>
          <t>AOC</t>
        </is>
      </c>
      <c r="D93" s="51" t="inlineStr">
        <is>
          <t>100G QSFP28 5m, active optical cable</t>
        </is>
      </c>
      <c r="E93" s="43" t="inlineStr">
        <is>
          <t>QSFP28</t>
        </is>
      </c>
      <c r="F93" s="43" t="n">
        <v>100</v>
      </c>
      <c r="G93" s="43" t="inlineStr">
        <is>
          <t>AOC</t>
        </is>
      </c>
      <c r="H93" s="43" t="inlineStr">
        <is>
          <t>QSFP28</t>
        </is>
      </c>
      <c r="I93" s="43" t="n">
        <v>5</v>
      </c>
      <c r="J93" s="43" t="n"/>
      <c r="K93" s="43" t="n"/>
      <c r="L93" s="43" t="n"/>
      <c r="M93" s="43" t="n"/>
      <c r="N93" s="43" t="n"/>
      <c r="O93" s="43" t="inlineStr">
        <is>
          <t>Limited lifetime (optic.ca)</t>
        </is>
      </c>
      <c r="P93" s="43" t="inlineStr">
        <is>
          <t>NETGEAR KB 000066694 (optic.ca, updated 2025-09-23)</t>
        </is>
      </c>
      <c r="Q93" s="43" t="inlineStr">
        <is>
          <t>Third-party: optic.ca, NETGEAR certified. Order from optic.ca. Custom lengths to 30m on request</t>
        </is>
      </c>
    </row>
    <row r="94" ht="23.85" customHeight="1" s="29">
      <c r="A94" s="43" t="inlineStr">
        <is>
          <t>NGQ100G-AO7M-OC</t>
        </is>
      </c>
      <c r="B94" s="43" t="inlineStr">
        <is>
          <t>NGQ100G-AOxM-OC</t>
        </is>
      </c>
      <c r="C94" s="43" t="inlineStr">
        <is>
          <t>AOC</t>
        </is>
      </c>
      <c r="D94" s="51" t="inlineStr">
        <is>
          <t>100G QSFP28 7m, active optical cable</t>
        </is>
      </c>
      <c r="E94" s="43" t="inlineStr">
        <is>
          <t>QSFP28</t>
        </is>
      </c>
      <c r="F94" s="43" t="n">
        <v>100</v>
      </c>
      <c r="G94" s="43" t="inlineStr">
        <is>
          <t>AOC</t>
        </is>
      </c>
      <c r="H94" s="43" t="inlineStr">
        <is>
          <t>QSFP28</t>
        </is>
      </c>
      <c r="I94" s="43" t="n">
        <v>7</v>
      </c>
      <c r="J94" s="43" t="n"/>
      <c r="K94" s="43" t="n"/>
      <c r="L94" s="43" t="n"/>
      <c r="M94" s="43" t="n"/>
      <c r="N94" s="43" t="n"/>
      <c r="O94" s="43" t="inlineStr">
        <is>
          <t>Limited lifetime (optic.ca)</t>
        </is>
      </c>
      <c r="P94" s="43" t="inlineStr">
        <is>
          <t>NETGEAR KB 000066694 (optic.ca, updated 2025-09-23)</t>
        </is>
      </c>
      <c r="Q94" s="43" t="inlineStr">
        <is>
          <t>Third-party: optic.ca, NETGEAR certified. Order from optic.ca. Custom lengths to 30m on request</t>
        </is>
      </c>
    </row>
    <row r="95" ht="23.85" customHeight="1" s="29">
      <c r="A95" s="43" t="inlineStr">
        <is>
          <t>NGQ100G-AO10M-OC</t>
        </is>
      </c>
      <c r="B95" s="43" t="inlineStr">
        <is>
          <t>NGQ100G-AOxM-OC</t>
        </is>
      </c>
      <c r="C95" s="43" t="inlineStr">
        <is>
          <t>AOC</t>
        </is>
      </c>
      <c r="D95" s="51" t="inlineStr">
        <is>
          <t>100G QSFP28 10m, active optical cable</t>
        </is>
      </c>
      <c r="E95" s="43" t="inlineStr">
        <is>
          <t>QSFP28</t>
        </is>
      </c>
      <c r="F95" s="43" t="n">
        <v>100</v>
      </c>
      <c r="G95" s="43" t="inlineStr">
        <is>
          <t>AOC</t>
        </is>
      </c>
      <c r="H95" s="43" t="inlineStr">
        <is>
          <t>QSFP28</t>
        </is>
      </c>
      <c r="I95" s="43" t="n">
        <v>10</v>
      </c>
      <c r="J95" s="43" t="n"/>
      <c r="K95" s="43" t="n"/>
      <c r="L95" s="43" t="n"/>
      <c r="M95" s="43" t="n"/>
      <c r="N95" s="43" t="n"/>
      <c r="O95" s="43" t="inlineStr">
        <is>
          <t>Limited lifetime (optic.ca)</t>
        </is>
      </c>
      <c r="P95" s="43" t="inlineStr">
        <is>
          <t>NETGEAR KB 000066694 (optic.ca, updated 2025-09-23)</t>
        </is>
      </c>
      <c r="Q95" s="43" t="inlineStr">
        <is>
          <t>Third-party: optic.ca, NETGEAR certified. Order from optic.ca. Custom lengths to 30m on request</t>
        </is>
      </c>
    </row>
    <row r="96" ht="23.85" customHeight="1" s="29">
      <c r="A96" s="43" t="inlineStr">
        <is>
          <t>NGQ4X25-CU1M-OC</t>
        </is>
      </c>
      <c r="B96" s="43" t="inlineStr">
        <is>
          <t>NGQ4X25-CUxM-OC</t>
        </is>
      </c>
      <c r="C96" s="43" t="inlineStr">
        <is>
          <t>Breakout Cable</t>
        </is>
      </c>
      <c r="D96" s="51" t="inlineStr">
        <is>
          <t>100G QSFP28 to 4 x 25G SFP28 breakout 1m, passive copper</t>
        </is>
      </c>
      <c r="E96" s="43" t="inlineStr">
        <is>
          <t>QSFP28 to 4x SFP28</t>
        </is>
      </c>
      <c r="F96" s="43" t="n">
        <v>25</v>
      </c>
      <c r="G96" s="43" t="inlineStr">
        <is>
          <t>DAC passive</t>
        </is>
      </c>
      <c r="H96" s="43" t="inlineStr">
        <is>
          <t>QSFP28 / 4x SFP28</t>
        </is>
      </c>
      <c r="I96" s="43" t="n">
        <v>1</v>
      </c>
      <c r="J96" s="43" t="n"/>
      <c r="K96" s="43" t="n"/>
      <c r="L96" s="43" t="n"/>
      <c r="M96" s="43" t="n"/>
      <c r="N96" s="43" t="n"/>
      <c r="O96" s="43" t="inlineStr">
        <is>
          <t>Limited lifetime (optic.ca)</t>
        </is>
      </c>
      <c r="P96" s="43" t="inlineStr">
        <is>
          <t>NETGEAR KB 000066694 (optic.ca, updated 2025-09-23)</t>
        </is>
      </c>
      <c r="Q96" s="43" t="inlineStr">
        <is>
          <t>Third-party: optic.ca, NETGEAR certified. Order from optic.ca. Custom lengths to 5m on request. Breakout not used by engine yet</t>
        </is>
      </c>
    </row>
    <row r="97" ht="23.85" customHeight="1" s="29">
      <c r="A97" s="43" t="inlineStr">
        <is>
          <t>NGQ4X25-CU2M-OC</t>
        </is>
      </c>
      <c r="B97" s="43" t="inlineStr">
        <is>
          <t>NGQ4X25-CUxM-OC</t>
        </is>
      </c>
      <c r="C97" s="43" t="inlineStr">
        <is>
          <t>Breakout Cable</t>
        </is>
      </c>
      <c r="D97" s="51" t="inlineStr">
        <is>
          <t>100G QSFP28 to 4 x 25G SFP28 breakout 2m, passive copper</t>
        </is>
      </c>
      <c r="E97" s="43" t="inlineStr">
        <is>
          <t>QSFP28 to 4x SFP28</t>
        </is>
      </c>
      <c r="F97" s="43" t="n">
        <v>25</v>
      </c>
      <c r="G97" s="43" t="inlineStr">
        <is>
          <t>DAC passive</t>
        </is>
      </c>
      <c r="H97" s="43" t="inlineStr">
        <is>
          <t>QSFP28 / 4x SFP28</t>
        </is>
      </c>
      <c r="I97" s="43" t="n">
        <v>2</v>
      </c>
      <c r="J97" s="43" t="n"/>
      <c r="K97" s="43" t="n"/>
      <c r="L97" s="43" t="n"/>
      <c r="M97" s="43" t="n"/>
      <c r="N97" s="43" t="n"/>
      <c r="O97" s="43" t="inlineStr">
        <is>
          <t>Limited lifetime (optic.ca)</t>
        </is>
      </c>
      <c r="P97" s="43" t="inlineStr">
        <is>
          <t>NETGEAR KB 000066694 (optic.ca, updated 2025-09-23)</t>
        </is>
      </c>
      <c r="Q97" s="43" t="inlineStr">
        <is>
          <t>Third-party: optic.ca, NETGEAR certified. Order from optic.ca. Custom lengths to 5m on request. Breakout not used by engine yet</t>
        </is>
      </c>
    </row>
    <row r="98" ht="23.85" customHeight="1" s="29">
      <c r="A98" s="43" t="inlineStr">
        <is>
          <t>NGQ4X25-CU3M-OC</t>
        </is>
      </c>
      <c r="B98" s="43" t="inlineStr">
        <is>
          <t>NGQ4X25-CUxM-OC</t>
        </is>
      </c>
      <c r="C98" s="43" t="inlineStr">
        <is>
          <t>Breakout Cable</t>
        </is>
      </c>
      <c r="D98" s="51" t="inlineStr">
        <is>
          <t>100G QSFP28 to 4 x 25G SFP28 breakout 3m, passive copper</t>
        </is>
      </c>
      <c r="E98" s="43" t="inlineStr">
        <is>
          <t>QSFP28 to 4x SFP28</t>
        </is>
      </c>
      <c r="F98" s="43" t="n">
        <v>25</v>
      </c>
      <c r="G98" s="43" t="inlineStr">
        <is>
          <t>DAC passive</t>
        </is>
      </c>
      <c r="H98" s="43" t="inlineStr">
        <is>
          <t>QSFP28 / 4x SFP28</t>
        </is>
      </c>
      <c r="I98" s="43" t="n">
        <v>3</v>
      </c>
      <c r="J98" s="43" t="n"/>
      <c r="K98" s="43" t="n"/>
      <c r="L98" s="43" t="n"/>
      <c r="M98" s="43" t="n"/>
      <c r="N98" s="43" t="n"/>
      <c r="O98" s="43" t="inlineStr">
        <is>
          <t>Limited lifetime (optic.ca)</t>
        </is>
      </c>
      <c r="P98" s="43" t="inlineStr">
        <is>
          <t>NETGEAR KB 000066694 (optic.ca, updated 2025-09-23)</t>
        </is>
      </c>
      <c r="Q98" s="43" t="inlineStr">
        <is>
          <t>Third-party: optic.ca, NETGEAR certified. Order from optic.ca. Custom lengths to 5m on request. Breakout not used by engine yet</t>
        </is>
      </c>
    </row>
    <row r="99" ht="23.85" customHeight="1" s="29">
      <c r="A99" s="43" t="inlineStr">
        <is>
          <t>NGQ4X25-CU5M-OC</t>
        </is>
      </c>
      <c r="B99" s="43" t="inlineStr">
        <is>
          <t>NGQ4X25-CUxM-OC</t>
        </is>
      </c>
      <c r="C99" s="43" t="inlineStr">
        <is>
          <t>Breakout Cable</t>
        </is>
      </c>
      <c r="D99" s="51" t="inlineStr">
        <is>
          <t>100G QSFP28 to 4 x 25G SFP28 breakout 5m, passive copper</t>
        </is>
      </c>
      <c r="E99" s="43" t="inlineStr">
        <is>
          <t>QSFP28 to 4x SFP28</t>
        </is>
      </c>
      <c r="F99" s="43" t="n">
        <v>25</v>
      </c>
      <c r="G99" s="43" t="inlineStr">
        <is>
          <t>DAC passive</t>
        </is>
      </c>
      <c r="H99" s="43" t="inlineStr">
        <is>
          <t>QSFP28 / 4x SFP28</t>
        </is>
      </c>
      <c r="I99" s="43" t="n">
        <v>5</v>
      </c>
      <c r="J99" s="43" t="n"/>
      <c r="K99" s="43" t="n"/>
      <c r="L99" s="43" t="n"/>
      <c r="M99" s="43" t="n"/>
      <c r="N99" s="43" t="n"/>
      <c r="O99" s="43" t="inlineStr">
        <is>
          <t>Limited lifetime (optic.ca)</t>
        </is>
      </c>
      <c r="P99" s="43" t="inlineStr">
        <is>
          <t>NETGEAR KB 000066694 (optic.ca, updated 2025-09-23)</t>
        </is>
      </c>
      <c r="Q99" s="43" t="inlineStr">
        <is>
          <t>Third-party: optic.ca, NETGEAR certified. Order from optic.ca. Custom lengths to 5m on request. Breakout not used by engine yet</t>
        </is>
      </c>
    </row>
    <row r="100" ht="23.85" customHeight="1" s="29">
      <c r="A100" s="43" t="inlineStr">
        <is>
          <t>NGQ4X25-AO1M-OC</t>
        </is>
      </c>
      <c r="B100" s="43" t="inlineStr">
        <is>
          <t>NGQ4X25-AOxM-OC</t>
        </is>
      </c>
      <c r="C100" s="43" t="inlineStr">
        <is>
          <t>Breakout Cable</t>
        </is>
      </c>
      <c r="D100" s="51" t="inlineStr">
        <is>
          <t>100G QSFP28 to 4 x 25G SFP28 breakout 1m, active optical</t>
        </is>
      </c>
      <c r="E100" s="43" t="inlineStr">
        <is>
          <t>QSFP28 to 4x SFP28</t>
        </is>
      </c>
      <c r="F100" s="43" t="n">
        <v>25</v>
      </c>
      <c r="G100" s="43" t="inlineStr">
        <is>
          <t>AOC</t>
        </is>
      </c>
      <c r="H100" s="43" t="inlineStr">
        <is>
          <t>QSFP28 / 4x SFP28</t>
        </is>
      </c>
      <c r="I100" s="43" t="n">
        <v>1</v>
      </c>
      <c r="J100" s="43" t="n"/>
      <c r="K100" s="43" t="n"/>
      <c r="L100" s="43" t="n"/>
      <c r="M100" s="43" t="n"/>
      <c r="N100" s="43" t="n"/>
      <c r="O100" s="43" t="inlineStr">
        <is>
          <t>Limited lifetime (optic.ca)</t>
        </is>
      </c>
      <c r="P100" s="43" t="inlineStr">
        <is>
          <t>NETGEAR KB 000066694 (optic.ca, updated 2025-09-23)</t>
        </is>
      </c>
      <c r="Q100" s="43" t="inlineStr">
        <is>
          <t>Third-party: optic.ca, NETGEAR certified. Order from optic.ca. Custom lengths to 30m on request. Breakout not used by engine yet</t>
        </is>
      </c>
    </row>
    <row r="101" ht="23.85" customHeight="1" s="29">
      <c r="A101" s="43" t="inlineStr">
        <is>
          <t>NGQ4X25-AO2M-OC</t>
        </is>
      </c>
      <c r="B101" s="43" t="inlineStr">
        <is>
          <t>NGQ4X25-AOxM-OC</t>
        </is>
      </c>
      <c r="C101" s="43" t="inlineStr">
        <is>
          <t>Breakout Cable</t>
        </is>
      </c>
      <c r="D101" s="51" t="inlineStr">
        <is>
          <t>100G QSFP28 to 4 x 25G SFP28 breakout 2m, active optical</t>
        </is>
      </c>
      <c r="E101" s="43" t="inlineStr">
        <is>
          <t>QSFP28 to 4x SFP28</t>
        </is>
      </c>
      <c r="F101" s="43" t="n">
        <v>25</v>
      </c>
      <c r="G101" s="43" t="inlineStr">
        <is>
          <t>AOC</t>
        </is>
      </c>
      <c r="H101" s="43" t="inlineStr">
        <is>
          <t>QSFP28 / 4x SFP28</t>
        </is>
      </c>
      <c r="I101" s="43" t="n">
        <v>2</v>
      </c>
      <c r="J101" s="43" t="n"/>
      <c r="K101" s="43" t="n"/>
      <c r="L101" s="43" t="n"/>
      <c r="M101" s="43" t="n"/>
      <c r="N101" s="43" t="n"/>
      <c r="O101" s="43" t="inlineStr">
        <is>
          <t>Limited lifetime (optic.ca)</t>
        </is>
      </c>
      <c r="P101" s="43" t="inlineStr">
        <is>
          <t>NETGEAR KB 000066694 (optic.ca, updated 2025-09-23)</t>
        </is>
      </c>
      <c r="Q101" s="43" t="inlineStr">
        <is>
          <t>Third-party: optic.ca, NETGEAR certified. Order from optic.ca. Custom lengths to 30m on request. Breakout not used by engine yet</t>
        </is>
      </c>
    </row>
    <row r="102" ht="23.85" customHeight="1" s="29">
      <c r="A102" s="43" t="inlineStr">
        <is>
          <t>NGQ4X25-AO3M-OC</t>
        </is>
      </c>
      <c r="B102" s="43" t="inlineStr">
        <is>
          <t>NGQ4X25-AOxM-OC</t>
        </is>
      </c>
      <c r="C102" s="43" t="inlineStr">
        <is>
          <t>Breakout Cable</t>
        </is>
      </c>
      <c r="D102" s="51" t="inlineStr">
        <is>
          <t>100G QSFP28 to 4 x 25G SFP28 breakout 3m, active optical</t>
        </is>
      </c>
      <c r="E102" s="43" t="inlineStr">
        <is>
          <t>QSFP28 to 4x SFP28</t>
        </is>
      </c>
      <c r="F102" s="43" t="n">
        <v>25</v>
      </c>
      <c r="G102" s="43" t="inlineStr">
        <is>
          <t>AOC</t>
        </is>
      </c>
      <c r="H102" s="43" t="inlineStr">
        <is>
          <t>QSFP28 / 4x SFP28</t>
        </is>
      </c>
      <c r="I102" s="43" t="n">
        <v>3</v>
      </c>
      <c r="J102" s="43" t="n"/>
      <c r="K102" s="43" t="n"/>
      <c r="L102" s="43" t="n"/>
      <c r="M102" s="43" t="n"/>
      <c r="N102" s="43" t="n"/>
      <c r="O102" s="43" t="inlineStr">
        <is>
          <t>Limited lifetime (optic.ca)</t>
        </is>
      </c>
      <c r="P102" s="43" t="inlineStr">
        <is>
          <t>NETGEAR KB 000066694 (optic.ca, updated 2025-09-23)</t>
        </is>
      </c>
      <c r="Q102" s="43" t="inlineStr">
        <is>
          <t>Third-party: optic.ca, NETGEAR certified. Order from optic.ca. Custom lengths to 30m on request. Breakout not used by engine yet</t>
        </is>
      </c>
    </row>
    <row r="103" ht="23.85" customHeight="1" s="29">
      <c r="A103" s="43" t="inlineStr">
        <is>
          <t>NGQ4X25-AO5M-OC</t>
        </is>
      </c>
      <c r="B103" s="43" t="inlineStr">
        <is>
          <t>NGQ4X25-AOxM-OC</t>
        </is>
      </c>
      <c r="C103" s="43" t="inlineStr">
        <is>
          <t>Breakout Cable</t>
        </is>
      </c>
      <c r="D103" s="51" t="inlineStr">
        <is>
          <t>100G QSFP28 to 4 x 25G SFP28 breakout 5m, active optical</t>
        </is>
      </c>
      <c r="E103" s="43" t="inlineStr">
        <is>
          <t>QSFP28 to 4x SFP28</t>
        </is>
      </c>
      <c r="F103" s="43" t="n">
        <v>25</v>
      </c>
      <c r="G103" s="43" t="inlineStr">
        <is>
          <t>AOC</t>
        </is>
      </c>
      <c r="H103" s="43" t="inlineStr">
        <is>
          <t>QSFP28 / 4x SFP28</t>
        </is>
      </c>
      <c r="I103" s="43" t="n">
        <v>5</v>
      </c>
      <c r="J103" s="43" t="n"/>
      <c r="K103" s="43" t="n"/>
      <c r="L103" s="43" t="n"/>
      <c r="M103" s="43" t="n"/>
      <c r="N103" s="43" t="n"/>
      <c r="O103" s="43" t="inlineStr">
        <is>
          <t>Limited lifetime (optic.ca)</t>
        </is>
      </c>
      <c r="P103" s="43" t="inlineStr">
        <is>
          <t>NETGEAR KB 000066694 (optic.ca, updated 2025-09-23)</t>
        </is>
      </c>
      <c r="Q103" s="43" t="inlineStr">
        <is>
          <t>Third-party: optic.ca, NETGEAR certified. Order from optic.ca. Custom lengths to 30m on request. Breakout not used by engine yet</t>
        </is>
      </c>
    </row>
    <row r="104" ht="23.85" customHeight="1" s="29">
      <c r="A104" s="43" t="inlineStr">
        <is>
          <t>NGQ4X25-AO7M-OC</t>
        </is>
      </c>
      <c r="B104" s="43" t="inlineStr">
        <is>
          <t>NGQ4X25-AOxM-OC</t>
        </is>
      </c>
      <c r="C104" s="43" t="inlineStr">
        <is>
          <t>Breakout Cable</t>
        </is>
      </c>
      <c r="D104" s="51" t="inlineStr">
        <is>
          <t>100G QSFP28 to 4 x 25G SFP28 breakout 7m, active optical</t>
        </is>
      </c>
      <c r="E104" s="43" t="inlineStr">
        <is>
          <t>QSFP28 to 4x SFP28</t>
        </is>
      </c>
      <c r="F104" s="43" t="n">
        <v>25</v>
      </c>
      <c r="G104" s="43" t="inlineStr">
        <is>
          <t>AOC</t>
        </is>
      </c>
      <c r="H104" s="43" t="inlineStr">
        <is>
          <t>QSFP28 / 4x SFP28</t>
        </is>
      </c>
      <c r="I104" s="43" t="n">
        <v>7</v>
      </c>
      <c r="J104" s="43" t="n"/>
      <c r="K104" s="43" t="n"/>
      <c r="L104" s="43" t="n"/>
      <c r="M104" s="43" t="n"/>
      <c r="N104" s="43" t="n"/>
      <c r="O104" s="43" t="inlineStr">
        <is>
          <t>Limited lifetime (optic.ca)</t>
        </is>
      </c>
      <c r="P104" s="43" t="inlineStr">
        <is>
          <t>NETGEAR KB 000066694 (optic.ca, updated 2025-09-23)</t>
        </is>
      </c>
      <c r="Q104" s="43" t="inlineStr">
        <is>
          <t>Third-party: optic.ca, NETGEAR certified. Order from optic.ca. Custom lengths to 30m on request. Breakout not used by engine yet</t>
        </is>
      </c>
    </row>
    <row r="105" ht="23.85" customHeight="1" s="29">
      <c r="A105" s="43" t="inlineStr">
        <is>
          <t>NGQ4X25-AO10M-OC</t>
        </is>
      </c>
      <c r="B105" s="43" t="inlineStr">
        <is>
          <t>NGQ4X25-AOxM-OC</t>
        </is>
      </c>
      <c r="C105" s="43" t="inlineStr">
        <is>
          <t>Breakout Cable</t>
        </is>
      </c>
      <c r="D105" s="51" t="inlineStr">
        <is>
          <t>100G QSFP28 to 4 x 25G SFP28 breakout 10m, active optical</t>
        </is>
      </c>
      <c r="E105" s="43" t="inlineStr">
        <is>
          <t>QSFP28 to 4x SFP28</t>
        </is>
      </c>
      <c r="F105" s="43" t="n">
        <v>25</v>
      </c>
      <c r="G105" s="43" t="inlineStr">
        <is>
          <t>AOC</t>
        </is>
      </c>
      <c r="H105" s="43" t="inlineStr">
        <is>
          <t>QSFP28 / 4x SFP28</t>
        </is>
      </c>
      <c r="I105" s="43" t="n">
        <v>10</v>
      </c>
      <c r="J105" s="43" t="n"/>
      <c r="K105" s="43" t="n"/>
      <c r="L105" s="43" t="n"/>
      <c r="M105" s="43" t="n"/>
      <c r="N105" s="43" t="n"/>
      <c r="O105" s="43" t="inlineStr">
        <is>
          <t>Limited lifetime (optic.ca)</t>
        </is>
      </c>
      <c r="P105" s="43" t="inlineStr">
        <is>
          <t>NETGEAR KB 000066694 (optic.ca, updated 2025-09-23)</t>
        </is>
      </c>
      <c r="Q105" s="43" t="inlineStr">
        <is>
          <t>Third-party: optic.ca, NETGEAR certified. Order from optic.ca. Custom lengths to 30m on request. Breakout not used by engine yet</t>
        </is>
      </c>
    </row>
  </sheetData>
  <mergeCells count="2">
    <mergeCell ref="A2:Q2"/>
    <mergeCell ref="A1:Q1"/>
  </mergeCells>
  <dataValidations count="1">
    <dataValidation sqref="C5:C1000" showDropDown="0" showInputMessage="0" showErrorMessage="0" allowBlank="1" type="list" errorStyle="stop" operator="between">
      <formula1>Lists!$H$5:$H$16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13" customWidth="1" style="28" min="2" max="2"/>
    <col width="22" customWidth="1" style="28" min="3" max="3"/>
    <col width="18" customWidth="1" style="28" min="4" max="4"/>
    <col width="24" customWidth="1" style="28" min="5" max="5"/>
    <col width="8" customWidth="1" style="28" min="6" max="6"/>
    <col width="60" customWidth="1" style="28" min="7" max="7"/>
  </cols>
  <sheetData>
    <row r="1" ht="30" customHeight="1" s="29">
      <c r="A1" s="30" t="inlineStr">
        <is>
          <t>Compatibility Map</t>
        </is>
      </c>
    </row>
    <row r="2" ht="15" customHeight="1" s="29">
      <c r="A2" s="31" t="inlineStr">
        <is>
          <t>Scope_Type = Product (one Product_ID) or Family (applies to every product in that Family). Accessory_Base links to Accessories.Base_Model.</t>
        </is>
      </c>
    </row>
    <row r="4" ht="31.5" customHeight="1" s="29">
      <c r="A4" s="42" t="inlineStr">
        <is>
          <t>Scope_Type</t>
        </is>
      </c>
      <c r="B4" s="42" t="inlineStr">
        <is>
          <t>Scope_Value</t>
        </is>
      </c>
      <c r="C4" s="42" t="inlineStr">
        <is>
          <t>Port_or_Slot</t>
        </is>
      </c>
      <c r="D4" s="42" t="inlineStr">
        <is>
          <t>Accessory_Base</t>
        </is>
      </c>
      <c r="E4" s="42" t="inlineStr">
        <is>
          <t>Relationship</t>
        </is>
      </c>
      <c r="F4" s="42" t="inlineStr">
        <is>
          <t>Max_Qty</t>
        </is>
      </c>
      <c r="G4" s="42" t="inlineStr">
        <is>
          <t>Constraint_Notes</t>
        </is>
      </c>
    </row>
    <row r="5" ht="15" customHeight="1" s="29">
      <c r="A5" s="43" t="inlineStr">
        <is>
          <t>Family</t>
        </is>
      </c>
      <c r="B5" s="43" t="inlineStr">
        <is>
          <t>M4250</t>
        </is>
      </c>
      <c r="C5" s="43" t="inlineStr">
        <is>
          <t>SFP (1G)</t>
        </is>
      </c>
      <c r="D5" s="43" t="inlineStr">
        <is>
          <t>AGM731F</t>
        </is>
      </c>
      <c r="E5" s="43" t="inlineStr">
        <is>
          <t>Optional optic</t>
        </is>
      </c>
      <c r="F5" s="43" t="n"/>
      <c r="G5" s="43" t="inlineStr">
        <is>
          <t>1G module</t>
        </is>
      </c>
    </row>
    <row r="6" ht="15" customHeight="1" s="29">
      <c r="A6" s="43" t="inlineStr">
        <is>
          <t>Family</t>
        </is>
      </c>
      <c r="B6" s="43" t="inlineStr">
        <is>
          <t>M4250</t>
        </is>
      </c>
      <c r="C6" s="43" t="inlineStr">
        <is>
          <t>SFP (1G)</t>
        </is>
      </c>
      <c r="D6" s="43" t="inlineStr">
        <is>
          <t>AGM732F</t>
        </is>
      </c>
      <c r="E6" s="43" t="inlineStr">
        <is>
          <t>Optional optic</t>
        </is>
      </c>
      <c r="F6" s="43" t="n"/>
      <c r="G6" s="43" t="inlineStr">
        <is>
          <t>1G module</t>
        </is>
      </c>
    </row>
    <row r="7" ht="15" customHeight="1" s="29">
      <c r="A7" s="43" t="inlineStr">
        <is>
          <t>Family</t>
        </is>
      </c>
      <c r="B7" s="43" t="inlineStr">
        <is>
          <t>M4250</t>
        </is>
      </c>
      <c r="C7" s="43" t="inlineStr">
        <is>
          <t>SFP (1G)</t>
        </is>
      </c>
      <c r="D7" s="43" t="inlineStr">
        <is>
          <t>AGM734</t>
        </is>
      </c>
      <c r="E7" s="43" t="inlineStr">
        <is>
          <t>Optional optic</t>
        </is>
      </c>
      <c r="F7" s="43" t="n"/>
      <c r="G7" s="43" t="inlineStr">
        <is>
          <t>1G module</t>
        </is>
      </c>
    </row>
    <row r="8" ht="15" customHeight="1" s="29">
      <c r="A8" s="43" t="inlineStr">
        <is>
          <t>Family</t>
        </is>
      </c>
      <c r="B8" s="43" t="inlineStr">
        <is>
          <t>M4250</t>
        </is>
      </c>
      <c r="C8" s="43" t="inlineStr">
        <is>
          <t>SFP+</t>
        </is>
      </c>
      <c r="D8" s="43" t="inlineStr">
        <is>
          <t>AGM731F</t>
        </is>
      </c>
      <c r="E8" s="43" t="inlineStr">
        <is>
          <t>Optional optic</t>
        </is>
      </c>
      <c r="F8" s="43" t="n"/>
      <c r="G8" s="51" t="inlineStr">
        <is>
          <t>M4250-16XF: 1G modules on ports 1-12 only</t>
        </is>
      </c>
    </row>
    <row r="9" ht="15" customHeight="1" s="29">
      <c r="A9" s="43" t="inlineStr">
        <is>
          <t>Family</t>
        </is>
      </c>
      <c r="B9" s="43" t="inlineStr">
        <is>
          <t>M4250</t>
        </is>
      </c>
      <c r="C9" s="43" t="inlineStr">
        <is>
          <t>SFP+</t>
        </is>
      </c>
      <c r="D9" s="43" t="inlineStr">
        <is>
          <t>AGM732F</t>
        </is>
      </c>
      <c r="E9" s="43" t="inlineStr">
        <is>
          <t>Optional optic</t>
        </is>
      </c>
      <c r="F9" s="43" t="n"/>
      <c r="G9" s="51" t="inlineStr">
        <is>
          <t>M4250-16XF: 1G modules on ports 1-12 only</t>
        </is>
      </c>
    </row>
    <row r="10" ht="15" customHeight="1" s="29">
      <c r="A10" s="43" t="inlineStr">
        <is>
          <t>Family</t>
        </is>
      </c>
      <c r="B10" s="43" t="inlineStr">
        <is>
          <t>M4250</t>
        </is>
      </c>
      <c r="C10" s="43" t="inlineStr">
        <is>
          <t>SFP+</t>
        </is>
      </c>
      <c r="D10" s="43" t="inlineStr">
        <is>
          <t>AGM734</t>
        </is>
      </c>
      <c r="E10" s="43" t="inlineStr">
        <is>
          <t>Optional optic</t>
        </is>
      </c>
      <c r="F10" s="43" t="n"/>
      <c r="G10" s="51" t="inlineStr">
        <is>
          <t>M4250-16XF: 1G modules on ports 1-12 only</t>
        </is>
      </c>
    </row>
    <row r="11" ht="15" customHeight="1" s="29">
      <c r="A11" s="43" t="inlineStr">
        <is>
          <t>Family</t>
        </is>
      </c>
      <c r="B11" s="43" t="inlineStr">
        <is>
          <t>M4250</t>
        </is>
      </c>
      <c r="C11" s="43" t="inlineStr">
        <is>
          <t>SFP+</t>
        </is>
      </c>
      <c r="D11" s="43" t="inlineStr">
        <is>
          <t>AXM761</t>
        </is>
      </c>
      <c r="E11" s="43" t="inlineStr">
        <is>
          <t>Optional optic/cable</t>
        </is>
      </c>
      <c r="F11" s="43" t="n"/>
      <c r="G11" s="43" t="n"/>
    </row>
    <row r="12" ht="15" customHeight="1" s="29">
      <c r="A12" s="43" t="inlineStr">
        <is>
          <t>Family</t>
        </is>
      </c>
      <c r="B12" s="43" t="inlineStr">
        <is>
          <t>M4250</t>
        </is>
      </c>
      <c r="C12" s="43" t="inlineStr">
        <is>
          <t>SFP+</t>
        </is>
      </c>
      <c r="D12" s="43" t="inlineStr">
        <is>
          <t>AXM762</t>
        </is>
      </c>
      <c r="E12" s="43" t="inlineStr">
        <is>
          <t>Optional optic/cable</t>
        </is>
      </c>
      <c r="F12" s="43" t="n"/>
      <c r="G12" s="43" t="n"/>
    </row>
    <row r="13" ht="15" customHeight="1" s="29">
      <c r="A13" s="43" t="inlineStr">
        <is>
          <t>Family</t>
        </is>
      </c>
      <c r="B13" s="43" t="inlineStr">
        <is>
          <t>M4250</t>
        </is>
      </c>
      <c r="C13" s="43" t="inlineStr">
        <is>
          <t>SFP+</t>
        </is>
      </c>
      <c r="D13" s="43" t="inlineStr">
        <is>
          <t>AXM763</t>
        </is>
      </c>
      <c r="E13" s="43" t="inlineStr">
        <is>
          <t>Optional optic/cable</t>
        </is>
      </c>
      <c r="F13" s="43" t="n"/>
      <c r="G13" s="43" t="n"/>
    </row>
    <row r="14" ht="15" customHeight="1" s="29">
      <c r="A14" s="43" t="inlineStr">
        <is>
          <t>Family</t>
        </is>
      </c>
      <c r="B14" s="43" t="inlineStr">
        <is>
          <t>M4250</t>
        </is>
      </c>
      <c r="C14" s="43" t="inlineStr">
        <is>
          <t>SFP+</t>
        </is>
      </c>
      <c r="D14" s="43" t="inlineStr">
        <is>
          <t>AXM764</t>
        </is>
      </c>
      <c r="E14" s="43" t="inlineStr">
        <is>
          <t>Optional optic/cable</t>
        </is>
      </c>
      <c r="F14" s="43" t="n"/>
      <c r="G14" s="43" t="n"/>
    </row>
    <row r="15" ht="15" customHeight="1" s="29">
      <c r="A15" s="43" t="inlineStr">
        <is>
          <t>Family</t>
        </is>
      </c>
      <c r="B15" s="43" t="inlineStr">
        <is>
          <t>M4250</t>
        </is>
      </c>
      <c r="C15" s="43" t="inlineStr">
        <is>
          <t>SFP+</t>
        </is>
      </c>
      <c r="D15" s="43" t="inlineStr">
        <is>
          <t>AXM765</t>
        </is>
      </c>
      <c r="E15" s="43" t="inlineStr">
        <is>
          <t>Optional optic/cable</t>
        </is>
      </c>
      <c r="F15" s="43" t="n"/>
      <c r="G15" s="43" t="n"/>
    </row>
    <row r="16" ht="15" customHeight="1" s="29">
      <c r="A16" s="43" t="inlineStr">
        <is>
          <t>Family</t>
        </is>
      </c>
      <c r="B16" s="43" t="inlineStr">
        <is>
          <t>M4250</t>
        </is>
      </c>
      <c r="C16" s="43" t="inlineStr">
        <is>
          <t>SFP+</t>
        </is>
      </c>
      <c r="D16" s="43" t="inlineStr">
        <is>
          <t>AXC761</t>
        </is>
      </c>
      <c r="E16" s="43" t="inlineStr">
        <is>
          <t>Optional optic/cable</t>
        </is>
      </c>
      <c r="F16" s="43" t="n"/>
      <c r="G16" s="43" t="n"/>
    </row>
    <row r="17" ht="15" customHeight="1" s="29">
      <c r="A17" s="43" t="inlineStr">
        <is>
          <t>Family</t>
        </is>
      </c>
      <c r="B17" s="43" t="inlineStr">
        <is>
          <t>M4250</t>
        </is>
      </c>
      <c r="C17" s="43" t="inlineStr">
        <is>
          <t>SFP+</t>
        </is>
      </c>
      <c r="D17" s="43" t="inlineStr">
        <is>
          <t>AXC763</t>
        </is>
      </c>
      <c r="E17" s="43" t="inlineStr">
        <is>
          <t>Optional optic/cable</t>
        </is>
      </c>
      <c r="F17" s="43" t="n"/>
      <c r="G17" s="43" t="n"/>
    </row>
    <row r="18" ht="15" customHeight="1" s="29">
      <c r="A18" s="43" t="inlineStr">
        <is>
          <t>Family</t>
        </is>
      </c>
      <c r="B18" s="43" t="inlineStr">
        <is>
          <t>M4250</t>
        </is>
      </c>
      <c r="C18" s="43" t="inlineStr">
        <is>
          <t>SFP+</t>
        </is>
      </c>
      <c r="D18" s="43" t="inlineStr">
        <is>
          <t>AXC765</t>
        </is>
      </c>
      <c r="E18" s="43" t="inlineStr">
        <is>
          <t>Optional optic/cable</t>
        </is>
      </c>
      <c r="F18" s="43" t="n"/>
      <c r="G18" s="43" t="n"/>
    </row>
    <row r="19" ht="15" customHeight="1" s="29">
      <c r="A19" s="43" t="inlineStr">
        <is>
          <t>Family</t>
        </is>
      </c>
      <c r="B19" s="43" t="inlineStr">
        <is>
          <t>M4250</t>
        </is>
      </c>
      <c r="C19" s="43" t="inlineStr">
        <is>
          <t>SFP+</t>
        </is>
      </c>
      <c r="D19" s="43" t="inlineStr">
        <is>
          <t>AXC767</t>
        </is>
      </c>
      <c r="E19" s="43" t="inlineStr">
        <is>
          <t>Optional optic/cable</t>
        </is>
      </c>
      <c r="F19" s="43" t="n"/>
      <c r="G19" s="43" t="n"/>
    </row>
    <row r="20" ht="15" customHeight="1" s="29">
      <c r="A20" s="43" t="inlineStr">
        <is>
          <t>Family</t>
        </is>
      </c>
      <c r="B20" s="43" t="inlineStr">
        <is>
          <t>M4250</t>
        </is>
      </c>
      <c r="C20" s="43" t="inlineStr">
        <is>
          <t>SFP+</t>
        </is>
      </c>
      <c r="D20" s="43" t="inlineStr">
        <is>
          <t>AXC7610</t>
        </is>
      </c>
      <c r="E20" s="43" t="inlineStr">
        <is>
          <t>Optional optic/cable</t>
        </is>
      </c>
      <c r="F20" s="43" t="n"/>
      <c r="G20" s="43" t="n"/>
    </row>
    <row r="21" ht="15" customHeight="1" s="29">
      <c r="A21" s="43" t="inlineStr">
        <is>
          <t>Family</t>
        </is>
      </c>
      <c r="B21" s="43" t="inlineStr">
        <is>
          <t>M4250</t>
        </is>
      </c>
      <c r="C21" s="43" t="inlineStr">
        <is>
          <t>SFP+</t>
        </is>
      </c>
      <c r="D21" s="43" t="inlineStr">
        <is>
          <t>AXC7615</t>
        </is>
      </c>
      <c r="E21" s="43" t="inlineStr">
        <is>
          <t>Optional optic/cable</t>
        </is>
      </c>
      <c r="F21" s="43" t="n"/>
      <c r="G21" s="43" t="n"/>
    </row>
    <row r="22" ht="15" customHeight="1" s="29">
      <c r="A22" s="43" t="inlineStr">
        <is>
          <t>Family</t>
        </is>
      </c>
      <c r="B22" s="43" t="inlineStr">
        <is>
          <t>M4250</t>
        </is>
      </c>
      <c r="C22" s="43" t="inlineStr">
        <is>
          <t>SFP+</t>
        </is>
      </c>
      <c r="D22" s="43" t="inlineStr">
        <is>
          <t>AXC7620</t>
        </is>
      </c>
      <c r="E22" s="43" t="inlineStr">
        <is>
          <t>Optional optic/cable</t>
        </is>
      </c>
      <c r="F22" s="43" t="n"/>
      <c r="G22" s="43" t="n"/>
    </row>
    <row r="23" ht="15" customHeight="1" s="29">
      <c r="A23" s="43" t="inlineStr">
        <is>
          <t>Family</t>
        </is>
      </c>
      <c r="B23" s="43" t="inlineStr">
        <is>
          <t>M4350</t>
        </is>
      </c>
      <c r="C23" s="43" t="inlineStr">
        <is>
          <t>SFP+ / SFP28</t>
        </is>
      </c>
      <c r="D23" s="43" t="inlineStr">
        <is>
          <t>AGM731F</t>
        </is>
      </c>
      <c r="E23" s="43" t="inlineStr">
        <is>
          <t>Optional optic</t>
        </is>
      </c>
      <c r="F23" s="43" t="n"/>
      <c r="G23" s="51" t="inlineStr">
        <is>
          <t>1G module; on SFP28, whole 4-port block drops to 1G</t>
        </is>
      </c>
    </row>
    <row r="24" ht="15" customHeight="1" s="29">
      <c r="A24" s="43" t="inlineStr">
        <is>
          <t>Family</t>
        </is>
      </c>
      <c r="B24" s="43" t="inlineStr">
        <is>
          <t>M4350</t>
        </is>
      </c>
      <c r="C24" s="43" t="inlineStr">
        <is>
          <t>SFP+ / SFP28</t>
        </is>
      </c>
      <c r="D24" s="43" t="inlineStr">
        <is>
          <t>AGM732F</t>
        </is>
      </c>
      <c r="E24" s="43" t="inlineStr">
        <is>
          <t>Optional optic</t>
        </is>
      </c>
      <c r="F24" s="43" t="n"/>
      <c r="G24" s="51" t="inlineStr">
        <is>
          <t>1G module; on SFP28, whole 4-port block drops to 1G</t>
        </is>
      </c>
    </row>
    <row r="25" ht="15" customHeight="1" s="29">
      <c r="A25" s="43" t="inlineStr">
        <is>
          <t>Family</t>
        </is>
      </c>
      <c r="B25" s="43" t="inlineStr">
        <is>
          <t>M4350</t>
        </is>
      </c>
      <c r="C25" s="43" t="inlineStr">
        <is>
          <t>SFP+ / SFP28</t>
        </is>
      </c>
      <c r="D25" s="43" t="inlineStr">
        <is>
          <t>AGM734</t>
        </is>
      </c>
      <c r="E25" s="43" t="inlineStr">
        <is>
          <t>Optional optic</t>
        </is>
      </c>
      <c r="F25" s="43" t="n"/>
      <c r="G25" s="51" t="inlineStr">
        <is>
          <t>1G module; on SFP28, whole 4-port block drops to 1G</t>
        </is>
      </c>
    </row>
    <row r="26" ht="15" customHeight="1" s="29">
      <c r="A26" s="43" t="inlineStr">
        <is>
          <t>Family</t>
        </is>
      </c>
      <c r="B26" s="43" t="inlineStr">
        <is>
          <t>M4350</t>
        </is>
      </c>
      <c r="C26" s="43" t="inlineStr">
        <is>
          <t>SFP+ / SFP28</t>
        </is>
      </c>
      <c r="D26" s="43" t="inlineStr">
        <is>
          <t>AXM761</t>
        </is>
      </c>
      <c r="E26" s="43" t="inlineStr">
        <is>
          <t>Optional optic/cable</t>
        </is>
      </c>
      <c r="F26" s="43" t="n"/>
      <c r="G26" s="51" t="inlineStr">
        <is>
          <t>SFP28 at 10G: all 4 ports of the block must run 10G</t>
        </is>
      </c>
    </row>
    <row r="27" ht="15" customHeight="1" s="29">
      <c r="A27" s="43" t="inlineStr">
        <is>
          <t>Family</t>
        </is>
      </c>
      <c r="B27" s="43" t="inlineStr">
        <is>
          <t>M4350</t>
        </is>
      </c>
      <c r="C27" s="43" t="inlineStr">
        <is>
          <t>SFP+ / SFP28</t>
        </is>
      </c>
      <c r="D27" s="43" t="inlineStr">
        <is>
          <t>AXM762</t>
        </is>
      </c>
      <c r="E27" s="43" t="inlineStr">
        <is>
          <t>Optional optic/cable</t>
        </is>
      </c>
      <c r="F27" s="43" t="n"/>
      <c r="G27" s="51" t="inlineStr">
        <is>
          <t>SFP28 at 10G: all 4 ports of the block must run 10G</t>
        </is>
      </c>
    </row>
    <row r="28" ht="15" customHeight="1" s="29">
      <c r="A28" s="43" t="inlineStr">
        <is>
          <t>Family</t>
        </is>
      </c>
      <c r="B28" s="43" t="inlineStr">
        <is>
          <t>M4350</t>
        </is>
      </c>
      <c r="C28" s="43" t="inlineStr">
        <is>
          <t>SFP+ / SFP28</t>
        </is>
      </c>
      <c r="D28" s="43" t="inlineStr">
        <is>
          <t>AXM763</t>
        </is>
      </c>
      <c r="E28" s="43" t="inlineStr">
        <is>
          <t>Optional optic/cable</t>
        </is>
      </c>
      <c r="F28" s="43" t="n"/>
      <c r="G28" s="51" t="inlineStr">
        <is>
          <t>SFP28 at 10G: all 4 ports of the block must run 10G</t>
        </is>
      </c>
    </row>
    <row r="29" ht="15" customHeight="1" s="29">
      <c r="A29" s="43" t="inlineStr">
        <is>
          <t>Family</t>
        </is>
      </c>
      <c r="B29" s="43" t="inlineStr">
        <is>
          <t>M4350</t>
        </is>
      </c>
      <c r="C29" s="43" t="inlineStr">
        <is>
          <t>SFP+ / SFP28</t>
        </is>
      </c>
      <c r="D29" s="43" t="inlineStr">
        <is>
          <t>AXM764</t>
        </is>
      </c>
      <c r="E29" s="43" t="inlineStr">
        <is>
          <t>Optional optic/cable</t>
        </is>
      </c>
      <c r="F29" s="43" t="n"/>
      <c r="G29" s="51" t="inlineStr">
        <is>
          <t>SFP28 at 10G: all 4 ports of the block must run 10G</t>
        </is>
      </c>
    </row>
    <row r="30" ht="15" customHeight="1" s="29">
      <c r="A30" s="43" t="inlineStr">
        <is>
          <t>Family</t>
        </is>
      </c>
      <c r="B30" s="43" t="inlineStr">
        <is>
          <t>M4350</t>
        </is>
      </c>
      <c r="C30" s="43" t="inlineStr">
        <is>
          <t>SFP+ / SFP28</t>
        </is>
      </c>
      <c r="D30" s="43" t="inlineStr">
        <is>
          <t>AXM765</t>
        </is>
      </c>
      <c r="E30" s="43" t="inlineStr">
        <is>
          <t>Optional optic/cable</t>
        </is>
      </c>
      <c r="F30" s="43" t="n"/>
      <c r="G30" s="51" t="inlineStr">
        <is>
          <t>SFP28 at 10G: all 4 ports of the block must run 10G</t>
        </is>
      </c>
    </row>
    <row r="31" ht="15" customHeight="1" s="29">
      <c r="A31" s="43" t="inlineStr">
        <is>
          <t>Family</t>
        </is>
      </c>
      <c r="B31" s="43" t="inlineStr">
        <is>
          <t>M4350</t>
        </is>
      </c>
      <c r="C31" s="43" t="inlineStr">
        <is>
          <t>SFP+ / SFP28</t>
        </is>
      </c>
      <c r="D31" s="43" t="inlineStr">
        <is>
          <t>AXC761</t>
        </is>
      </c>
      <c r="E31" s="43" t="inlineStr">
        <is>
          <t>Optional optic/cable</t>
        </is>
      </c>
      <c r="F31" s="43" t="n"/>
      <c r="G31" s="51" t="inlineStr">
        <is>
          <t>SFP28 at 10G: all 4 ports of the block must run 10G</t>
        </is>
      </c>
    </row>
    <row r="32" ht="15" customHeight="1" s="29">
      <c r="A32" s="43" t="inlineStr">
        <is>
          <t>Family</t>
        </is>
      </c>
      <c r="B32" s="43" t="inlineStr">
        <is>
          <t>M4350</t>
        </is>
      </c>
      <c r="C32" s="43" t="inlineStr">
        <is>
          <t>SFP+ / SFP28</t>
        </is>
      </c>
      <c r="D32" s="43" t="inlineStr">
        <is>
          <t>AXC763</t>
        </is>
      </c>
      <c r="E32" s="43" t="inlineStr">
        <is>
          <t>Optional optic/cable</t>
        </is>
      </c>
      <c r="F32" s="43" t="n"/>
      <c r="G32" s="51" t="inlineStr">
        <is>
          <t>SFP28 at 10G: all 4 ports of the block must run 10G</t>
        </is>
      </c>
    </row>
    <row r="33" ht="15" customHeight="1" s="29">
      <c r="A33" s="43" t="inlineStr">
        <is>
          <t>Family</t>
        </is>
      </c>
      <c r="B33" s="43" t="inlineStr">
        <is>
          <t>M4350</t>
        </is>
      </c>
      <c r="C33" s="43" t="inlineStr">
        <is>
          <t>SFP+ / SFP28</t>
        </is>
      </c>
      <c r="D33" s="43" t="inlineStr">
        <is>
          <t>AXC765</t>
        </is>
      </c>
      <c r="E33" s="43" t="inlineStr">
        <is>
          <t>Optional optic/cable</t>
        </is>
      </c>
      <c r="F33" s="43" t="n"/>
      <c r="G33" s="51" t="inlineStr">
        <is>
          <t>SFP28 at 10G: all 4 ports of the block must run 10G</t>
        </is>
      </c>
    </row>
    <row r="34" ht="15" customHeight="1" s="29">
      <c r="A34" s="43" t="inlineStr">
        <is>
          <t>Family</t>
        </is>
      </c>
      <c r="B34" s="43" t="inlineStr">
        <is>
          <t>M4350</t>
        </is>
      </c>
      <c r="C34" s="43" t="inlineStr">
        <is>
          <t>SFP+ / SFP28</t>
        </is>
      </c>
      <c r="D34" s="43" t="inlineStr">
        <is>
          <t>AXC767</t>
        </is>
      </c>
      <c r="E34" s="43" t="inlineStr">
        <is>
          <t>Optional optic/cable</t>
        </is>
      </c>
      <c r="F34" s="43" t="n"/>
      <c r="G34" s="51" t="inlineStr">
        <is>
          <t>SFP28 at 10G: all 4 ports of the block must run 10G</t>
        </is>
      </c>
    </row>
    <row r="35" ht="15" customHeight="1" s="29">
      <c r="A35" s="43" t="inlineStr">
        <is>
          <t>Family</t>
        </is>
      </c>
      <c r="B35" s="43" t="inlineStr">
        <is>
          <t>M4350</t>
        </is>
      </c>
      <c r="C35" s="43" t="inlineStr">
        <is>
          <t>SFP+ / SFP28</t>
        </is>
      </c>
      <c r="D35" s="43" t="inlineStr">
        <is>
          <t>AXC7610</t>
        </is>
      </c>
      <c r="E35" s="43" t="inlineStr">
        <is>
          <t>Optional optic/cable</t>
        </is>
      </c>
      <c r="F35" s="43" t="n"/>
      <c r="G35" s="51" t="inlineStr">
        <is>
          <t>SFP28 at 10G: all 4 ports of the block must run 10G</t>
        </is>
      </c>
    </row>
    <row r="36" ht="15" customHeight="1" s="29">
      <c r="A36" s="43" t="inlineStr">
        <is>
          <t>Family</t>
        </is>
      </c>
      <c r="B36" s="43" t="inlineStr">
        <is>
          <t>M4350</t>
        </is>
      </c>
      <c r="C36" s="43" t="inlineStr">
        <is>
          <t>SFP+ / SFP28</t>
        </is>
      </c>
      <c r="D36" s="43" t="inlineStr">
        <is>
          <t>AXC7615</t>
        </is>
      </c>
      <c r="E36" s="43" t="inlineStr">
        <is>
          <t>Optional optic/cable</t>
        </is>
      </c>
      <c r="F36" s="43" t="n"/>
      <c r="G36" s="51" t="inlineStr">
        <is>
          <t>SFP28 at 10G: all 4 ports of the block must run 10G</t>
        </is>
      </c>
    </row>
    <row r="37" ht="15" customHeight="1" s="29">
      <c r="A37" s="43" t="inlineStr">
        <is>
          <t>Family</t>
        </is>
      </c>
      <c r="B37" s="43" t="inlineStr">
        <is>
          <t>M4350</t>
        </is>
      </c>
      <c r="C37" s="43" t="inlineStr">
        <is>
          <t>SFP+ / SFP28</t>
        </is>
      </c>
      <c r="D37" s="43" t="inlineStr">
        <is>
          <t>AXC7620</t>
        </is>
      </c>
      <c r="E37" s="43" t="inlineStr">
        <is>
          <t>Optional optic/cable</t>
        </is>
      </c>
      <c r="F37" s="43" t="n"/>
      <c r="G37" s="51" t="inlineStr">
        <is>
          <t>SFP28 at 10G: all 4 ports of the block must run 10G</t>
        </is>
      </c>
    </row>
    <row r="38" ht="23.85" customHeight="1" s="29">
      <c r="A38" s="43" t="inlineStr">
        <is>
          <t>Family</t>
        </is>
      </c>
      <c r="B38" s="43" t="inlineStr">
        <is>
          <t>M4350</t>
        </is>
      </c>
      <c r="C38" s="43" t="inlineStr">
        <is>
          <t>SFP28</t>
        </is>
      </c>
      <c r="D38" s="43" t="inlineStr">
        <is>
          <t>NGS25G-SR-OC</t>
        </is>
      </c>
      <c r="E38" s="43" t="inlineStr">
        <is>
          <t>Optional optic/cable</t>
        </is>
      </c>
      <c r="F38" s="43" t="n"/>
      <c r="G38" s="51" t="inlineStr">
        <is>
          <t>25G module: forces the whole 4-port SFP28 block to 25G (R01). Validated in KB 000066694</t>
        </is>
      </c>
    </row>
    <row r="39" ht="15" customHeight="1" s="29">
      <c r="A39" s="43" t="inlineStr">
        <is>
          <t>Product</t>
        </is>
      </c>
      <c r="B39" s="43" t="inlineStr">
        <is>
          <t>GSM4328</t>
        </is>
      </c>
      <c r="C39" s="43" t="inlineStr">
        <is>
          <t>PSU slot</t>
        </is>
      </c>
      <c r="D39" s="43" t="inlineStr">
        <is>
          <t>APS350W</t>
        </is>
      </c>
      <c r="E39" s="43" t="inlineStr">
        <is>
          <t>Optional PSU (RPS/EPS)</t>
        </is>
      </c>
      <c r="F39" s="43" t="n">
        <v>1</v>
      </c>
      <c r="G39" s="43" t="inlineStr">
        <is>
          <t>Do not mix PSU groups</t>
        </is>
      </c>
    </row>
    <row r="40" ht="15" customHeight="1" s="29">
      <c r="A40" s="43" t="inlineStr">
        <is>
          <t>Product</t>
        </is>
      </c>
      <c r="B40" s="43" t="inlineStr">
        <is>
          <t>GSM4328</t>
        </is>
      </c>
      <c r="C40" s="43" t="inlineStr">
        <is>
          <t>PSU slot</t>
        </is>
      </c>
      <c r="D40" s="43" t="inlineStr">
        <is>
          <t>APS600Wv2</t>
        </is>
      </c>
      <c r="E40" s="43" t="inlineStr">
        <is>
          <t>Optional PSU (RPS/EPS)</t>
        </is>
      </c>
      <c r="F40" s="43" t="n">
        <v>1</v>
      </c>
      <c r="G40" s="43" t="inlineStr">
        <is>
          <t>Do not mix PSU groups</t>
        </is>
      </c>
    </row>
    <row r="41" ht="15" customHeight="1" s="29">
      <c r="A41" s="43" t="inlineStr">
        <is>
          <t>Product</t>
        </is>
      </c>
      <c r="B41" s="43" t="inlineStr">
        <is>
          <t>GSM4328</t>
        </is>
      </c>
      <c r="C41" s="43" t="inlineStr">
        <is>
          <t>PSU slot</t>
        </is>
      </c>
      <c r="D41" s="43" t="inlineStr">
        <is>
          <t>APS920W</t>
        </is>
      </c>
      <c r="E41" s="43" t="inlineStr">
        <is>
          <t>Optional PSU (RPS/EPS)</t>
        </is>
      </c>
      <c r="F41" s="43" t="n">
        <v>1</v>
      </c>
      <c r="G41" s="43" t="inlineStr">
        <is>
          <t>Do not mix PSU groups</t>
        </is>
      </c>
    </row>
    <row r="42" ht="15" customHeight="1" s="29">
      <c r="A42" s="43" t="inlineStr">
        <is>
          <t>Product</t>
        </is>
      </c>
      <c r="B42" s="43" t="inlineStr">
        <is>
          <t>GSM4328</t>
        </is>
      </c>
      <c r="C42" s="43" t="inlineStr">
        <is>
          <t>PSU slot</t>
        </is>
      </c>
      <c r="D42" s="43" t="inlineStr">
        <is>
          <t>APS2000W</t>
        </is>
      </c>
      <c r="E42" s="43" t="inlineStr">
        <is>
          <t>Optional PSU (RPS/EPS)</t>
        </is>
      </c>
      <c r="F42" s="43" t="n">
        <v>1</v>
      </c>
      <c r="G42" s="43" t="inlineStr">
        <is>
          <t>Do not mix PSU groups</t>
        </is>
      </c>
    </row>
    <row r="43" ht="15" customHeight="1" s="29">
      <c r="A43" s="43" t="inlineStr">
        <is>
          <t>Product</t>
        </is>
      </c>
      <c r="B43" s="43" t="inlineStr">
        <is>
          <t>GSM4352</t>
        </is>
      </c>
      <c r="C43" s="43" t="inlineStr">
        <is>
          <t>PSU slot</t>
        </is>
      </c>
      <c r="D43" s="43" t="inlineStr">
        <is>
          <t>APS350W</t>
        </is>
      </c>
      <c r="E43" s="43" t="inlineStr">
        <is>
          <t>Optional PSU (RPS/EPS)</t>
        </is>
      </c>
      <c r="F43" s="43" t="n">
        <v>2</v>
      </c>
      <c r="G43" s="43" t="inlineStr">
        <is>
          <t>Do not mix PSU groups</t>
        </is>
      </c>
    </row>
    <row r="44" ht="15" customHeight="1" s="29">
      <c r="A44" s="43" t="inlineStr">
        <is>
          <t>Product</t>
        </is>
      </c>
      <c r="B44" s="43" t="inlineStr">
        <is>
          <t>GSM4352</t>
        </is>
      </c>
      <c r="C44" s="43" t="inlineStr">
        <is>
          <t>PSU slot</t>
        </is>
      </c>
      <c r="D44" s="43" t="inlineStr">
        <is>
          <t>APS600Wv2</t>
        </is>
      </c>
      <c r="E44" s="43" t="inlineStr">
        <is>
          <t>Optional PSU (RPS/EPS)</t>
        </is>
      </c>
      <c r="F44" s="43" t="n">
        <v>2</v>
      </c>
      <c r="G44" s="43" t="inlineStr">
        <is>
          <t>Do not mix PSU groups</t>
        </is>
      </c>
    </row>
    <row r="45" ht="15" customHeight="1" s="29">
      <c r="A45" s="43" t="inlineStr">
        <is>
          <t>Product</t>
        </is>
      </c>
      <c r="B45" s="43" t="inlineStr">
        <is>
          <t>GSM4352</t>
        </is>
      </c>
      <c r="C45" s="43" t="inlineStr">
        <is>
          <t>PSU slot</t>
        </is>
      </c>
      <c r="D45" s="43" t="inlineStr">
        <is>
          <t>APS920W</t>
        </is>
      </c>
      <c r="E45" s="43" t="inlineStr">
        <is>
          <t>Optional PSU (RPS/EPS)</t>
        </is>
      </c>
      <c r="F45" s="43" t="n">
        <v>2</v>
      </c>
      <c r="G45" s="43" t="inlineStr">
        <is>
          <t>Do not mix PSU groups</t>
        </is>
      </c>
    </row>
    <row r="46" ht="15" customHeight="1" s="29">
      <c r="A46" s="43" t="inlineStr">
        <is>
          <t>Product</t>
        </is>
      </c>
      <c r="B46" s="43" t="inlineStr">
        <is>
          <t>GSM4352</t>
        </is>
      </c>
      <c r="C46" s="43" t="inlineStr">
        <is>
          <t>PSU slot</t>
        </is>
      </c>
      <c r="D46" s="43" t="inlineStr">
        <is>
          <t>APS2000W</t>
        </is>
      </c>
      <c r="E46" s="43" t="inlineStr">
        <is>
          <t>Optional PSU (RPS/EPS)</t>
        </is>
      </c>
      <c r="F46" s="43" t="n">
        <v>2</v>
      </c>
      <c r="G46" s="43" t="inlineStr">
        <is>
          <t>Do not mix PSU groups</t>
        </is>
      </c>
    </row>
    <row r="47" ht="15" customHeight="1" s="29">
      <c r="A47" s="43" t="inlineStr">
        <is>
          <t>Product</t>
        </is>
      </c>
      <c r="B47" s="43" t="inlineStr">
        <is>
          <t>MSM4310</t>
        </is>
      </c>
      <c r="C47" s="43" t="inlineStr">
        <is>
          <t>PSU slot</t>
        </is>
      </c>
      <c r="D47" s="43" t="inlineStr">
        <is>
          <t>APS350W</t>
        </is>
      </c>
      <c r="E47" s="43" t="inlineStr">
        <is>
          <t>Optional PSU (RPS/EPS)</t>
        </is>
      </c>
      <c r="F47" s="43" t="n">
        <v>2</v>
      </c>
      <c r="G47" s="43" t="inlineStr">
        <is>
          <t>Do not mix PSU groups</t>
        </is>
      </c>
    </row>
    <row r="48" ht="15" customHeight="1" s="29">
      <c r="A48" s="43" t="inlineStr">
        <is>
          <t>Product</t>
        </is>
      </c>
      <c r="B48" s="43" t="inlineStr">
        <is>
          <t>MSM4310</t>
        </is>
      </c>
      <c r="C48" s="43" t="inlineStr">
        <is>
          <t>PSU slot</t>
        </is>
      </c>
      <c r="D48" s="43" t="inlineStr">
        <is>
          <t>APS600Wv2</t>
        </is>
      </c>
      <c r="E48" s="43" t="inlineStr">
        <is>
          <t>Optional PSU (RPS/EPS)</t>
        </is>
      </c>
      <c r="F48" s="43" t="n">
        <v>2</v>
      </c>
      <c r="G48" s="43" t="inlineStr">
        <is>
          <t>Do not mix PSU groups</t>
        </is>
      </c>
    </row>
    <row r="49" ht="15" customHeight="1" s="29">
      <c r="A49" s="43" t="inlineStr">
        <is>
          <t>Product</t>
        </is>
      </c>
      <c r="B49" s="43" t="inlineStr">
        <is>
          <t>MSM4310</t>
        </is>
      </c>
      <c r="C49" s="43" t="inlineStr">
        <is>
          <t>PSU slot</t>
        </is>
      </c>
      <c r="D49" s="43" t="inlineStr">
        <is>
          <t>APS920W</t>
        </is>
      </c>
      <c r="E49" s="43" t="inlineStr">
        <is>
          <t>Optional PSU (RPS/EPS)</t>
        </is>
      </c>
      <c r="F49" s="43" t="n">
        <v>2</v>
      </c>
      <c r="G49" s="43" t="inlineStr">
        <is>
          <t>Do not mix PSU groups</t>
        </is>
      </c>
    </row>
    <row r="50" ht="15" customHeight="1" s="29">
      <c r="A50" s="43" t="inlineStr">
        <is>
          <t>Product</t>
        </is>
      </c>
      <c r="B50" s="43" t="inlineStr">
        <is>
          <t>MSM4310</t>
        </is>
      </c>
      <c r="C50" s="43" t="inlineStr">
        <is>
          <t>PSU slot</t>
        </is>
      </c>
      <c r="D50" s="43" t="inlineStr">
        <is>
          <t>APS2000W</t>
        </is>
      </c>
      <c r="E50" s="43" t="inlineStr">
        <is>
          <t>Optional PSU (RPS/EPS)</t>
        </is>
      </c>
      <c r="F50" s="43" t="n">
        <v>2</v>
      </c>
      <c r="G50" s="43" t="inlineStr">
        <is>
          <t>Do not mix PSU groups</t>
        </is>
      </c>
    </row>
    <row r="51" ht="15" customHeight="1" s="29">
      <c r="A51" s="43" t="inlineStr">
        <is>
          <t>Product</t>
        </is>
      </c>
      <c r="B51" s="43" t="inlineStr">
        <is>
          <t>MSM4332</t>
        </is>
      </c>
      <c r="C51" s="43" t="inlineStr">
        <is>
          <t>PSU slot</t>
        </is>
      </c>
      <c r="D51" s="43" t="inlineStr">
        <is>
          <t>APS600Wv3</t>
        </is>
      </c>
      <c r="E51" s="43" t="inlineStr">
        <is>
          <t>Optional PSU (RPS/EPS)</t>
        </is>
      </c>
      <c r="F51" s="43" t="n">
        <v>2</v>
      </c>
      <c r="G51" s="43" t="inlineStr">
        <is>
          <t>Do not mix PSU groups</t>
        </is>
      </c>
    </row>
    <row r="52" ht="15" customHeight="1" s="29">
      <c r="A52" s="43" t="inlineStr">
        <is>
          <t>Product</t>
        </is>
      </c>
      <c r="B52" s="43" t="inlineStr">
        <is>
          <t>MSM4332</t>
        </is>
      </c>
      <c r="C52" s="43" t="inlineStr">
        <is>
          <t>PSU slot</t>
        </is>
      </c>
      <c r="D52" s="43" t="inlineStr">
        <is>
          <t>APS1200Wv2</t>
        </is>
      </c>
      <c r="E52" s="43" t="inlineStr">
        <is>
          <t>Optional PSU (RPS/EPS)</t>
        </is>
      </c>
      <c r="F52" s="43" t="n">
        <v>2</v>
      </c>
      <c r="G52" s="43" t="inlineStr">
        <is>
          <t>Do not mix PSU groups</t>
        </is>
      </c>
    </row>
    <row r="53" ht="15" customHeight="1" s="29">
      <c r="A53" s="43" t="inlineStr">
        <is>
          <t>Product</t>
        </is>
      </c>
      <c r="B53" s="43" t="inlineStr">
        <is>
          <t>MSM4332</t>
        </is>
      </c>
      <c r="C53" s="43" t="inlineStr">
        <is>
          <t>PSU slot</t>
        </is>
      </c>
      <c r="D53" s="43" t="inlineStr">
        <is>
          <t>APS2000Wv2</t>
        </is>
      </c>
      <c r="E53" s="43" t="inlineStr">
        <is>
          <t>Optional PSU (RPS/EPS)</t>
        </is>
      </c>
      <c r="F53" s="43" t="n">
        <v>2</v>
      </c>
      <c r="G53" s="43" t="inlineStr">
        <is>
          <t>Do not mix PSU groups</t>
        </is>
      </c>
    </row>
    <row r="54" ht="15" customHeight="1" s="29">
      <c r="A54" s="43" t="inlineStr">
        <is>
          <t>Product</t>
        </is>
      </c>
      <c r="B54" s="43" t="inlineStr">
        <is>
          <t>MSM4352</t>
        </is>
      </c>
      <c r="C54" s="43" t="inlineStr">
        <is>
          <t>PSU slot</t>
        </is>
      </c>
      <c r="D54" s="43" t="inlineStr">
        <is>
          <t>APS350W</t>
        </is>
      </c>
      <c r="E54" s="43" t="inlineStr">
        <is>
          <t>Optional PSU (RPS/EPS)</t>
        </is>
      </c>
      <c r="F54" s="43" t="n">
        <v>2</v>
      </c>
      <c r="G54" s="43" t="inlineStr">
        <is>
          <t>Do not mix PSU groups</t>
        </is>
      </c>
    </row>
    <row r="55" ht="15" customHeight="1" s="29">
      <c r="A55" s="43" t="inlineStr">
        <is>
          <t>Product</t>
        </is>
      </c>
      <c r="B55" s="43" t="inlineStr">
        <is>
          <t>MSM4352</t>
        </is>
      </c>
      <c r="C55" s="43" t="inlineStr">
        <is>
          <t>PSU slot</t>
        </is>
      </c>
      <c r="D55" s="43" t="inlineStr">
        <is>
          <t>APS600Wv2</t>
        </is>
      </c>
      <c r="E55" s="43" t="inlineStr">
        <is>
          <t>Optional PSU (RPS/EPS)</t>
        </is>
      </c>
      <c r="F55" s="43" t="n">
        <v>2</v>
      </c>
      <c r="G55" s="43" t="inlineStr">
        <is>
          <t>Do not mix PSU groups</t>
        </is>
      </c>
    </row>
    <row r="56" ht="15" customHeight="1" s="29">
      <c r="A56" s="43" t="inlineStr">
        <is>
          <t>Product</t>
        </is>
      </c>
      <c r="B56" s="43" t="inlineStr">
        <is>
          <t>MSM4352</t>
        </is>
      </c>
      <c r="C56" s="43" t="inlineStr">
        <is>
          <t>PSU slot</t>
        </is>
      </c>
      <c r="D56" s="43" t="inlineStr">
        <is>
          <t>APS920W</t>
        </is>
      </c>
      <c r="E56" s="43" t="inlineStr">
        <is>
          <t>Optional PSU (RPS/EPS)</t>
        </is>
      </c>
      <c r="F56" s="43" t="n">
        <v>2</v>
      </c>
      <c r="G56" s="43" t="inlineStr">
        <is>
          <t>Do not mix PSU groups</t>
        </is>
      </c>
    </row>
    <row r="57" ht="15" customHeight="1" s="29">
      <c r="A57" s="43" t="inlineStr">
        <is>
          <t>Product</t>
        </is>
      </c>
      <c r="B57" s="43" t="inlineStr">
        <is>
          <t>MSM4352</t>
        </is>
      </c>
      <c r="C57" s="43" t="inlineStr">
        <is>
          <t>PSU slot</t>
        </is>
      </c>
      <c r="D57" s="43" t="inlineStr">
        <is>
          <t>APS2000W</t>
        </is>
      </c>
      <c r="E57" s="43" t="inlineStr">
        <is>
          <t>Optional PSU (RPS/EPS)</t>
        </is>
      </c>
      <c r="F57" s="43" t="n">
        <v>2</v>
      </c>
      <c r="G57" s="43" t="inlineStr">
        <is>
          <t>Do not mix PSU groups</t>
        </is>
      </c>
    </row>
    <row r="58" ht="15" customHeight="1" s="29">
      <c r="A58" s="43" t="inlineStr">
        <is>
          <t>Product</t>
        </is>
      </c>
      <c r="B58" s="43" t="inlineStr">
        <is>
          <t>MSM4328F</t>
        </is>
      </c>
      <c r="C58" s="43" t="inlineStr">
        <is>
          <t>PSU slot</t>
        </is>
      </c>
      <c r="D58" s="43" t="inlineStr">
        <is>
          <t>APS600Wv3</t>
        </is>
      </c>
      <c r="E58" s="43" t="inlineStr">
        <is>
          <t>Optional PSU (RPS/EPS)</t>
        </is>
      </c>
      <c r="F58" s="43" t="n">
        <v>1</v>
      </c>
      <c r="G58" s="43" t="inlineStr">
        <is>
          <t>Do not mix PSU groups</t>
        </is>
      </c>
    </row>
    <row r="59" ht="15" customHeight="1" s="29">
      <c r="A59" s="43" t="inlineStr">
        <is>
          <t>Product</t>
        </is>
      </c>
      <c r="B59" s="43" t="inlineStr">
        <is>
          <t>MSM4328F</t>
        </is>
      </c>
      <c r="C59" s="43" t="inlineStr">
        <is>
          <t>PSU slot</t>
        </is>
      </c>
      <c r="D59" s="43" t="inlineStr">
        <is>
          <t>APS1200Wv2</t>
        </is>
      </c>
      <c r="E59" s="43" t="inlineStr">
        <is>
          <t>Optional PSU (RPS/EPS)</t>
        </is>
      </c>
      <c r="F59" s="43" t="n">
        <v>1</v>
      </c>
      <c r="G59" s="43" t="inlineStr">
        <is>
          <t>Do not mix PSU groups</t>
        </is>
      </c>
    </row>
    <row r="60" ht="15" customHeight="1" s="29">
      <c r="A60" s="43" t="inlineStr">
        <is>
          <t>Product</t>
        </is>
      </c>
      <c r="B60" s="43" t="inlineStr">
        <is>
          <t>MSM4328F</t>
        </is>
      </c>
      <c r="C60" s="43" t="inlineStr">
        <is>
          <t>PSU slot</t>
        </is>
      </c>
      <c r="D60" s="43" t="inlineStr">
        <is>
          <t>APS2000Wv2</t>
        </is>
      </c>
      <c r="E60" s="43" t="inlineStr">
        <is>
          <t>Optional PSU (RPS/EPS)</t>
        </is>
      </c>
      <c r="F60" s="43" t="n">
        <v>1</v>
      </c>
      <c r="G60" s="43" t="inlineStr">
        <is>
          <t>Do not mix PSU groups</t>
        </is>
      </c>
    </row>
    <row r="61" ht="15" customHeight="1" s="29">
      <c r="A61" s="43" t="inlineStr">
        <is>
          <t>Product</t>
        </is>
      </c>
      <c r="B61" s="43" t="inlineStr">
        <is>
          <t>XSM4328CV</t>
        </is>
      </c>
      <c r="C61" s="43" t="inlineStr">
        <is>
          <t>PSU slot</t>
        </is>
      </c>
      <c r="D61" s="43" t="inlineStr">
        <is>
          <t>APS350W</t>
        </is>
      </c>
      <c r="E61" s="43" t="inlineStr">
        <is>
          <t>Optional PSU (RPS/EPS)</t>
        </is>
      </c>
      <c r="F61" s="43" t="n">
        <v>1</v>
      </c>
      <c r="G61" s="43" t="inlineStr">
        <is>
          <t>Do not mix PSU groups</t>
        </is>
      </c>
    </row>
    <row r="62" ht="15" customHeight="1" s="29">
      <c r="A62" s="43" t="inlineStr">
        <is>
          <t>Product</t>
        </is>
      </c>
      <c r="B62" s="43" t="inlineStr">
        <is>
          <t>XSM4328CV</t>
        </is>
      </c>
      <c r="C62" s="43" t="inlineStr">
        <is>
          <t>PSU slot</t>
        </is>
      </c>
      <c r="D62" s="43" t="inlineStr">
        <is>
          <t>APS600Wv2</t>
        </is>
      </c>
      <c r="E62" s="43" t="inlineStr">
        <is>
          <t>Optional PSU (RPS/EPS)</t>
        </is>
      </c>
      <c r="F62" s="43" t="n">
        <v>1</v>
      </c>
      <c r="G62" s="43" t="inlineStr">
        <is>
          <t>Do not mix PSU groups</t>
        </is>
      </c>
    </row>
    <row r="63" ht="15" customHeight="1" s="29">
      <c r="A63" s="43" t="inlineStr">
        <is>
          <t>Product</t>
        </is>
      </c>
      <c r="B63" s="43" t="inlineStr">
        <is>
          <t>XSM4328CV</t>
        </is>
      </c>
      <c r="C63" s="43" t="inlineStr">
        <is>
          <t>PSU slot</t>
        </is>
      </c>
      <c r="D63" s="43" t="inlineStr">
        <is>
          <t>APS920W</t>
        </is>
      </c>
      <c r="E63" s="43" t="inlineStr">
        <is>
          <t>Optional PSU (RPS/EPS)</t>
        </is>
      </c>
      <c r="F63" s="43" t="n">
        <v>1</v>
      </c>
      <c r="G63" s="43" t="inlineStr">
        <is>
          <t>Do not mix PSU groups</t>
        </is>
      </c>
    </row>
    <row r="64" ht="15" customHeight="1" s="29">
      <c r="A64" s="43" t="inlineStr">
        <is>
          <t>Product</t>
        </is>
      </c>
      <c r="B64" s="43" t="inlineStr">
        <is>
          <t>XSM4328CV</t>
        </is>
      </c>
      <c r="C64" s="43" t="inlineStr">
        <is>
          <t>PSU slot</t>
        </is>
      </c>
      <c r="D64" s="43" t="inlineStr">
        <is>
          <t>APS2000W</t>
        </is>
      </c>
      <c r="E64" s="43" t="inlineStr">
        <is>
          <t>Optional PSU (RPS/EPS)</t>
        </is>
      </c>
      <c r="F64" s="43" t="n">
        <v>1</v>
      </c>
      <c r="G64" s="43" t="inlineStr">
        <is>
          <t>Do not mix PSU groups</t>
        </is>
      </c>
    </row>
    <row r="65" ht="15" customHeight="1" s="29">
      <c r="A65" s="43" t="inlineStr">
        <is>
          <t>Product</t>
        </is>
      </c>
      <c r="B65" s="43" t="inlineStr">
        <is>
          <t>XSM4328FV</t>
        </is>
      </c>
      <c r="C65" s="43" t="inlineStr">
        <is>
          <t>PSU slot</t>
        </is>
      </c>
      <c r="D65" s="43" t="inlineStr">
        <is>
          <t>APS350W</t>
        </is>
      </c>
      <c r="E65" s="43" t="inlineStr">
        <is>
          <t>Optional PSU (RPS/EPS)</t>
        </is>
      </c>
      <c r="F65" s="43" t="n">
        <v>1</v>
      </c>
      <c r="G65" s="43" t="inlineStr">
        <is>
          <t>Do not mix PSU groups</t>
        </is>
      </c>
    </row>
    <row r="66" ht="15" customHeight="1" s="29">
      <c r="A66" s="43" t="inlineStr">
        <is>
          <t>Product</t>
        </is>
      </c>
      <c r="B66" s="43" t="inlineStr">
        <is>
          <t>XSM4328FV</t>
        </is>
      </c>
      <c r="C66" s="43" t="inlineStr">
        <is>
          <t>PSU slot</t>
        </is>
      </c>
      <c r="D66" s="43" t="inlineStr">
        <is>
          <t>APS600Wv2</t>
        </is>
      </c>
      <c r="E66" s="43" t="inlineStr">
        <is>
          <t>Optional PSU (RPS/EPS)</t>
        </is>
      </c>
      <c r="F66" s="43" t="n">
        <v>1</v>
      </c>
      <c r="G66" s="43" t="inlineStr">
        <is>
          <t>Do not mix PSU groups</t>
        </is>
      </c>
    </row>
    <row r="67" ht="15" customHeight="1" s="29">
      <c r="A67" s="43" t="inlineStr">
        <is>
          <t>Product</t>
        </is>
      </c>
      <c r="B67" s="43" t="inlineStr">
        <is>
          <t>XSM4328FV</t>
        </is>
      </c>
      <c r="C67" s="43" t="inlineStr">
        <is>
          <t>PSU slot</t>
        </is>
      </c>
      <c r="D67" s="43" t="inlineStr">
        <is>
          <t>APS920W</t>
        </is>
      </c>
      <c r="E67" s="43" t="inlineStr">
        <is>
          <t>Optional PSU (RPS/EPS)</t>
        </is>
      </c>
      <c r="F67" s="43" t="n">
        <v>1</v>
      </c>
      <c r="G67" s="43" t="inlineStr">
        <is>
          <t>Do not mix PSU groups</t>
        </is>
      </c>
    </row>
    <row r="68" ht="15" customHeight="1" s="29">
      <c r="A68" s="43" t="inlineStr">
        <is>
          <t>Product</t>
        </is>
      </c>
      <c r="B68" s="43" t="inlineStr">
        <is>
          <t>XSM4328FV</t>
        </is>
      </c>
      <c r="C68" s="43" t="inlineStr">
        <is>
          <t>PSU slot</t>
        </is>
      </c>
      <c r="D68" s="43" t="inlineStr">
        <is>
          <t>APS2000W</t>
        </is>
      </c>
      <c r="E68" s="43" t="inlineStr">
        <is>
          <t>Optional PSU (RPS/EPS)</t>
        </is>
      </c>
      <c r="F68" s="43" t="n">
        <v>1</v>
      </c>
      <c r="G68" s="43" t="inlineStr">
        <is>
          <t>Do not mix PSU groups</t>
        </is>
      </c>
    </row>
    <row r="69" ht="15" customHeight="1" s="29">
      <c r="A69" s="43" t="inlineStr">
        <is>
          <t>Product</t>
        </is>
      </c>
      <c r="B69" s="43" t="inlineStr">
        <is>
          <t>XSM4340CV</t>
        </is>
      </c>
      <c r="C69" s="43" t="inlineStr">
        <is>
          <t>PSU slot</t>
        </is>
      </c>
      <c r="D69" s="43" t="inlineStr">
        <is>
          <t>APS600Wv3</t>
        </is>
      </c>
      <c r="E69" s="43" t="inlineStr">
        <is>
          <t>Optional PSU (RPS/EPS)</t>
        </is>
      </c>
      <c r="F69" s="43" t="n">
        <v>1</v>
      </c>
      <c r="G69" s="43" t="inlineStr">
        <is>
          <t>Do not mix PSU groups</t>
        </is>
      </c>
    </row>
    <row r="70" ht="15" customHeight="1" s="29">
      <c r="A70" s="43" t="inlineStr">
        <is>
          <t>Product</t>
        </is>
      </c>
      <c r="B70" s="43" t="inlineStr">
        <is>
          <t>XSM4340CV</t>
        </is>
      </c>
      <c r="C70" s="43" t="inlineStr">
        <is>
          <t>PSU slot</t>
        </is>
      </c>
      <c r="D70" s="43" t="inlineStr">
        <is>
          <t>APS1200Wv2</t>
        </is>
      </c>
      <c r="E70" s="43" t="inlineStr">
        <is>
          <t>Optional PSU (RPS/EPS)</t>
        </is>
      </c>
      <c r="F70" s="43" t="n">
        <v>1</v>
      </c>
      <c r="G70" s="43" t="inlineStr">
        <is>
          <t>Do not mix PSU groups</t>
        </is>
      </c>
    </row>
    <row r="71" ht="15" customHeight="1" s="29">
      <c r="A71" s="43" t="inlineStr">
        <is>
          <t>Product</t>
        </is>
      </c>
      <c r="B71" s="43" t="inlineStr">
        <is>
          <t>XSM4340CV</t>
        </is>
      </c>
      <c r="C71" s="43" t="inlineStr">
        <is>
          <t>PSU slot</t>
        </is>
      </c>
      <c r="D71" s="43" t="inlineStr">
        <is>
          <t>APS2000Wv2</t>
        </is>
      </c>
      <c r="E71" s="43" t="inlineStr">
        <is>
          <t>Optional PSU (RPS/EPS)</t>
        </is>
      </c>
      <c r="F71" s="43" t="n">
        <v>1</v>
      </c>
      <c r="G71" s="43" t="inlineStr">
        <is>
          <t>Do not mix PSU groups</t>
        </is>
      </c>
    </row>
    <row r="72" ht="15" customHeight="1" s="29">
      <c r="A72" s="43" t="inlineStr">
        <is>
          <t>Product</t>
        </is>
      </c>
      <c r="B72" s="43" t="inlineStr">
        <is>
          <t>XSM4340V</t>
        </is>
      </c>
      <c r="C72" s="43" t="inlineStr">
        <is>
          <t>PSU slot</t>
        </is>
      </c>
      <c r="D72" s="43" t="inlineStr">
        <is>
          <t>APS600Wv3</t>
        </is>
      </c>
      <c r="E72" s="43" t="inlineStr">
        <is>
          <t>Optional PSU (RPS/EPS)</t>
        </is>
      </c>
      <c r="F72" s="43" t="n">
        <v>1</v>
      </c>
      <c r="G72" s="43" t="inlineStr">
        <is>
          <t>Do not mix PSU groups</t>
        </is>
      </c>
    </row>
    <row r="73" ht="15" customHeight="1" s="29">
      <c r="A73" s="43" t="inlineStr">
        <is>
          <t>Product</t>
        </is>
      </c>
      <c r="B73" s="43" t="inlineStr">
        <is>
          <t>XSM4340V</t>
        </is>
      </c>
      <c r="C73" s="43" t="inlineStr">
        <is>
          <t>PSU slot</t>
        </is>
      </c>
      <c r="D73" s="43" t="inlineStr">
        <is>
          <t>APS1200Wv2</t>
        </is>
      </c>
      <c r="E73" s="43" t="inlineStr">
        <is>
          <t>Optional PSU (RPS/EPS)</t>
        </is>
      </c>
      <c r="F73" s="43" t="n">
        <v>1</v>
      </c>
      <c r="G73" s="43" t="inlineStr">
        <is>
          <t>Do not mix PSU groups</t>
        </is>
      </c>
    </row>
    <row r="74" ht="15" customHeight="1" s="29">
      <c r="A74" s="43" t="inlineStr">
        <is>
          <t>Product</t>
        </is>
      </c>
      <c r="B74" s="43" t="inlineStr">
        <is>
          <t>XSM4340V</t>
        </is>
      </c>
      <c r="C74" s="43" t="inlineStr">
        <is>
          <t>PSU slot</t>
        </is>
      </c>
      <c r="D74" s="43" t="inlineStr">
        <is>
          <t>APS2000Wv2</t>
        </is>
      </c>
      <c r="E74" s="43" t="inlineStr">
        <is>
          <t>Optional PSU (RPS/EPS)</t>
        </is>
      </c>
      <c r="F74" s="43" t="n">
        <v>1</v>
      </c>
      <c r="G74" s="43" t="inlineStr">
        <is>
          <t>Do not mix PSU groups</t>
        </is>
      </c>
    </row>
    <row r="75" ht="15" customHeight="1" s="29">
      <c r="A75" s="43" t="inlineStr">
        <is>
          <t>Product</t>
        </is>
      </c>
      <c r="B75" s="43" t="inlineStr">
        <is>
          <t>XSM4340FV</t>
        </is>
      </c>
      <c r="C75" s="43" t="inlineStr">
        <is>
          <t>PSU slot</t>
        </is>
      </c>
      <c r="D75" s="43" t="inlineStr">
        <is>
          <t>APS600Wv3</t>
        </is>
      </c>
      <c r="E75" s="43" t="inlineStr">
        <is>
          <t>Optional PSU (RPS/EPS)</t>
        </is>
      </c>
      <c r="F75" s="43" t="n">
        <v>1</v>
      </c>
      <c r="G75" s="43" t="inlineStr">
        <is>
          <t>Do not mix PSU groups</t>
        </is>
      </c>
    </row>
    <row r="76" ht="15" customHeight="1" s="29">
      <c r="A76" s="43" t="inlineStr">
        <is>
          <t>Product</t>
        </is>
      </c>
      <c r="B76" s="43" t="inlineStr">
        <is>
          <t>XSM4340FV</t>
        </is>
      </c>
      <c r="C76" s="43" t="inlineStr">
        <is>
          <t>PSU slot</t>
        </is>
      </c>
      <c r="D76" s="43" t="inlineStr">
        <is>
          <t>APS1200Wv2</t>
        </is>
      </c>
      <c r="E76" s="43" t="inlineStr">
        <is>
          <t>Optional PSU (RPS/EPS)</t>
        </is>
      </c>
      <c r="F76" s="43" t="n">
        <v>1</v>
      </c>
      <c r="G76" s="43" t="inlineStr">
        <is>
          <t>Do not mix PSU groups</t>
        </is>
      </c>
    </row>
    <row r="77" ht="15" customHeight="1" s="29">
      <c r="A77" s="43" t="inlineStr">
        <is>
          <t>Product</t>
        </is>
      </c>
      <c r="B77" s="43" t="inlineStr">
        <is>
          <t>XSM4340FV</t>
        </is>
      </c>
      <c r="C77" s="43" t="inlineStr">
        <is>
          <t>PSU slot</t>
        </is>
      </c>
      <c r="D77" s="43" t="inlineStr">
        <is>
          <t>APS2000Wv2</t>
        </is>
      </c>
      <c r="E77" s="43" t="inlineStr">
        <is>
          <t>Optional PSU (RPS/EPS)</t>
        </is>
      </c>
      <c r="F77" s="43" t="n">
        <v>1</v>
      </c>
      <c r="G77" s="43" t="inlineStr">
        <is>
          <t>Do not mix PSU groups</t>
        </is>
      </c>
    </row>
    <row r="78" ht="15" customHeight="1" s="29">
      <c r="A78" s="43" t="inlineStr">
        <is>
          <t>Product</t>
        </is>
      </c>
      <c r="B78" s="43" t="inlineStr">
        <is>
          <t>VSM4320C</t>
        </is>
      </c>
      <c r="C78" s="43" t="inlineStr">
        <is>
          <t>PSU slot</t>
        </is>
      </c>
      <c r="D78" s="43" t="inlineStr">
        <is>
          <t>APS600Wv3</t>
        </is>
      </c>
      <c r="E78" s="43" t="inlineStr">
        <is>
          <t>Optional PSU (RPS/EPS)</t>
        </is>
      </c>
      <c r="F78" s="43" t="n">
        <v>1</v>
      </c>
      <c r="G78" s="43" t="inlineStr">
        <is>
          <t>Do not mix PSU groups</t>
        </is>
      </c>
    </row>
    <row r="79" ht="15" customHeight="1" s="29">
      <c r="A79" s="43" t="inlineStr">
        <is>
          <t>Product</t>
        </is>
      </c>
      <c r="B79" s="43" t="inlineStr">
        <is>
          <t>VSM4320C</t>
        </is>
      </c>
      <c r="C79" s="43" t="inlineStr">
        <is>
          <t>PSU slot</t>
        </is>
      </c>
      <c r="D79" s="43" t="inlineStr">
        <is>
          <t>APS1200Wv2</t>
        </is>
      </c>
      <c r="E79" s="43" t="inlineStr">
        <is>
          <t>Optional PSU (RPS/EPS)</t>
        </is>
      </c>
      <c r="F79" s="43" t="n">
        <v>1</v>
      </c>
      <c r="G79" s="43" t="inlineStr">
        <is>
          <t>Do not mix PSU groups</t>
        </is>
      </c>
    </row>
    <row r="80" ht="15" customHeight="1" s="29">
      <c r="A80" s="43" t="inlineStr">
        <is>
          <t>Product</t>
        </is>
      </c>
      <c r="B80" s="43" t="inlineStr">
        <is>
          <t>VSM4320C</t>
        </is>
      </c>
      <c r="C80" s="43" t="inlineStr">
        <is>
          <t>PSU slot</t>
        </is>
      </c>
      <c r="D80" s="43" t="inlineStr">
        <is>
          <t>APS2000Wv2</t>
        </is>
      </c>
      <c r="E80" s="43" t="inlineStr">
        <is>
          <t>Optional PSU (RPS/EPS)</t>
        </is>
      </c>
      <c r="F80" s="43" t="n">
        <v>1</v>
      </c>
      <c r="G80" s="43" t="inlineStr">
        <is>
          <t>Do not mix PSU groups</t>
        </is>
      </c>
    </row>
    <row r="81" ht="15" customHeight="1" s="29">
      <c r="A81" s="43" t="inlineStr">
        <is>
          <t>Product</t>
        </is>
      </c>
      <c r="B81" s="43" t="inlineStr">
        <is>
          <t>XSM4344C</t>
        </is>
      </c>
      <c r="C81" s="43" t="inlineStr">
        <is>
          <t>PSU slot</t>
        </is>
      </c>
      <c r="D81" s="43" t="inlineStr">
        <is>
          <t>APS600Wv3</t>
        </is>
      </c>
      <c r="E81" s="43" t="inlineStr">
        <is>
          <t>Optional PSU (RPS/EPS)</t>
        </is>
      </c>
      <c r="F81" s="43" t="n">
        <v>1</v>
      </c>
      <c r="G81" s="43" t="inlineStr">
        <is>
          <t>Do not mix PSU groups</t>
        </is>
      </c>
    </row>
    <row r="82" ht="15" customHeight="1" s="29">
      <c r="A82" s="43" t="inlineStr">
        <is>
          <t>Product</t>
        </is>
      </c>
      <c r="B82" s="43" t="inlineStr">
        <is>
          <t>XSM4344C</t>
        </is>
      </c>
      <c r="C82" s="43" t="inlineStr">
        <is>
          <t>PSU slot</t>
        </is>
      </c>
      <c r="D82" s="43" t="inlineStr">
        <is>
          <t>APS1200Wv2</t>
        </is>
      </c>
      <c r="E82" s="43" t="inlineStr">
        <is>
          <t>Optional PSU (RPS/EPS)</t>
        </is>
      </c>
      <c r="F82" s="43" t="n">
        <v>1</v>
      </c>
      <c r="G82" s="43" t="inlineStr">
        <is>
          <t>Do not mix PSU groups</t>
        </is>
      </c>
    </row>
    <row r="83" ht="15" customHeight="1" s="29">
      <c r="A83" s="43" t="inlineStr">
        <is>
          <t>Product</t>
        </is>
      </c>
      <c r="B83" s="43" t="inlineStr">
        <is>
          <t>XSM4344C</t>
        </is>
      </c>
      <c r="C83" s="43" t="inlineStr">
        <is>
          <t>PSU slot</t>
        </is>
      </c>
      <c r="D83" s="43" t="inlineStr">
        <is>
          <t>APS2000Wv2</t>
        </is>
      </c>
      <c r="E83" s="43" t="inlineStr">
        <is>
          <t>Optional PSU (RPS/EPS)</t>
        </is>
      </c>
      <c r="F83" s="43" t="n">
        <v>1</v>
      </c>
      <c r="G83" s="43" t="inlineStr">
        <is>
          <t>Do not mix PSU groups</t>
        </is>
      </c>
    </row>
    <row r="84" ht="15" customHeight="1" s="29">
      <c r="A84" s="43" t="inlineStr">
        <is>
          <t>Product</t>
        </is>
      </c>
      <c r="B84" s="43" t="inlineStr">
        <is>
          <t>XSM4344FC</t>
        </is>
      </c>
      <c r="C84" s="43" t="inlineStr">
        <is>
          <t>PSU slot</t>
        </is>
      </c>
      <c r="D84" s="43" t="inlineStr">
        <is>
          <t>APS600Wv3</t>
        </is>
      </c>
      <c r="E84" s="43" t="inlineStr">
        <is>
          <t>Optional PSU (RPS/EPS)</t>
        </is>
      </c>
      <c r="F84" s="43" t="n">
        <v>1</v>
      </c>
      <c r="G84" s="43" t="inlineStr">
        <is>
          <t>Do not mix PSU groups</t>
        </is>
      </c>
    </row>
    <row r="85" ht="15" customHeight="1" s="29">
      <c r="A85" s="43" t="inlineStr">
        <is>
          <t>Product</t>
        </is>
      </c>
      <c r="B85" s="43" t="inlineStr">
        <is>
          <t>XSM4344FC</t>
        </is>
      </c>
      <c r="C85" s="43" t="inlineStr">
        <is>
          <t>PSU slot</t>
        </is>
      </c>
      <c r="D85" s="43" t="inlineStr">
        <is>
          <t>APS1200Wv2</t>
        </is>
      </c>
      <c r="E85" s="43" t="inlineStr">
        <is>
          <t>Optional PSU (RPS/EPS)</t>
        </is>
      </c>
      <c r="F85" s="43" t="n">
        <v>1</v>
      </c>
      <c r="G85" s="43" t="inlineStr">
        <is>
          <t>Do not mix PSU groups</t>
        </is>
      </c>
    </row>
    <row r="86" ht="15" customHeight="1" s="29">
      <c r="A86" s="43" t="inlineStr">
        <is>
          <t>Product</t>
        </is>
      </c>
      <c r="B86" s="43" t="inlineStr">
        <is>
          <t>XSM4344FC</t>
        </is>
      </c>
      <c r="C86" s="43" t="inlineStr">
        <is>
          <t>PSU slot</t>
        </is>
      </c>
      <c r="D86" s="43" t="inlineStr">
        <is>
          <t>APS2000Wv2</t>
        </is>
      </c>
      <c r="E86" s="43" t="inlineStr">
        <is>
          <t>Optional PSU (RPS/EPS)</t>
        </is>
      </c>
      <c r="F86" s="43" t="n">
        <v>1</v>
      </c>
      <c r="G86" s="43" t="inlineStr">
        <is>
          <t>Do not mix PSU groups</t>
        </is>
      </c>
    </row>
    <row r="87" ht="15" customHeight="1" s="29">
      <c r="A87" s="43" t="inlineStr">
        <is>
          <t>Product</t>
        </is>
      </c>
      <c r="B87" s="43" t="inlineStr">
        <is>
          <t>MSM4310</t>
        </is>
      </c>
      <c r="C87" s="43" t="inlineStr">
        <is>
          <t>Mounting</t>
        </is>
      </c>
      <c r="D87" s="43" t="inlineStr">
        <is>
          <t>PST4310</t>
        </is>
      </c>
      <c r="E87" s="43" t="inlineStr">
        <is>
          <t>Optional tray</t>
        </is>
      </c>
      <c r="F87" s="43" t="n"/>
      <c r="G87" s="43" t="inlineStr">
        <is>
          <t>Half-width PSU tray, 2x APS254W</t>
        </is>
      </c>
    </row>
    <row r="88" ht="15" customHeight="1" s="29">
      <c r="A88" s="43" t="inlineStr">
        <is>
          <t>Product</t>
        </is>
      </c>
      <c r="B88" s="43" t="inlineStr">
        <is>
          <t>GSM4210PX</t>
        </is>
      </c>
      <c r="C88" s="43" t="inlineStr">
        <is>
          <t>DC input</t>
        </is>
      </c>
      <c r="D88" s="43" t="inlineStr">
        <is>
          <t>APS254W</t>
        </is>
      </c>
      <c r="E88" s="43" t="inlineStr">
        <is>
          <t>Spare / replacement adapter</t>
        </is>
      </c>
      <c r="F88" s="43" t="n">
        <v>1</v>
      </c>
      <c r="G88" s="43" t="inlineStr">
        <is>
          <t>APS254W is the included adapter</t>
        </is>
      </c>
    </row>
    <row r="89" ht="15" customHeight="1" s="29">
      <c r="A89" s="43" t="inlineStr">
        <is>
          <t>Product</t>
        </is>
      </c>
      <c r="B89" s="43" t="inlineStr">
        <is>
          <t>GSM4210PD</t>
        </is>
      </c>
      <c r="C89" s="43" t="inlineStr">
        <is>
          <t>Service</t>
        </is>
      </c>
      <c r="D89" s="43" t="inlineStr">
        <is>
          <t>OnCall Cat 2</t>
        </is>
      </c>
      <c r="E89" s="43" t="inlineStr">
        <is>
          <t>Optional support</t>
        </is>
      </c>
      <c r="F89" s="43" t="n"/>
      <c r="G89" s="43" t="inlineStr">
        <is>
          <t>PMB0312 / PMB0332 / PMB0352 (1/3/5 yr)</t>
        </is>
      </c>
    </row>
    <row r="90" ht="15" customHeight="1" s="29">
      <c r="A90" s="43" t="inlineStr">
        <is>
          <t>Product</t>
        </is>
      </c>
      <c r="B90" s="43" t="inlineStr">
        <is>
          <t>GSM4210PX</t>
        </is>
      </c>
      <c r="C90" s="43" t="inlineStr">
        <is>
          <t>Service</t>
        </is>
      </c>
      <c r="D90" s="43" t="inlineStr">
        <is>
          <t>OnCall Cat 2</t>
        </is>
      </c>
      <c r="E90" s="43" t="inlineStr">
        <is>
          <t>Optional support</t>
        </is>
      </c>
      <c r="F90" s="43" t="n"/>
      <c r="G90" s="43" t="inlineStr">
        <is>
          <t>PMB0312 / PMB0332 / PMB0352 (1/3/5 yr)</t>
        </is>
      </c>
    </row>
    <row r="91" ht="15" customHeight="1" s="29">
      <c r="A91" s="43" t="inlineStr">
        <is>
          <t>Product</t>
        </is>
      </c>
      <c r="B91" s="43" t="inlineStr">
        <is>
          <t>GSM4212P</t>
        </is>
      </c>
      <c r="C91" s="43" t="inlineStr">
        <is>
          <t>Service</t>
        </is>
      </c>
      <c r="D91" s="43" t="inlineStr">
        <is>
          <t>OnCall Cat 2</t>
        </is>
      </c>
      <c r="E91" s="43" t="inlineStr">
        <is>
          <t>Optional support</t>
        </is>
      </c>
      <c r="F91" s="43" t="n"/>
      <c r="G91" s="43" t="inlineStr">
        <is>
          <t>PMB0312 / PMB0332 / PMB0352 (1/3/5 yr)</t>
        </is>
      </c>
    </row>
    <row r="92" ht="15" customHeight="1" s="29">
      <c r="A92" s="43" t="inlineStr">
        <is>
          <t>Product</t>
        </is>
      </c>
      <c r="B92" s="43" t="inlineStr">
        <is>
          <t>GSM4212PX</t>
        </is>
      </c>
      <c r="C92" s="43" t="inlineStr">
        <is>
          <t>Service</t>
        </is>
      </c>
      <c r="D92" s="43" t="inlineStr">
        <is>
          <t>OnCall Cat 2</t>
        </is>
      </c>
      <c r="E92" s="43" t="inlineStr">
        <is>
          <t>Optional support</t>
        </is>
      </c>
      <c r="F92" s="43" t="n"/>
      <c r="G92" s="43" t="inlineStr">
        <is>
          <t>PMB0312 / PMB0332 / PMB0352 (1/3/5 yr)</t>
        </is>
      </c>
    </row>
    <row r="93" ht="15" customHeight="1" s="29">
      <c r="A93" s="43" t="inlineStr">
        <is>
          <t>Product</t>
        </is>
      </c>
      <c r="B93" s="43" t="inlineStr">
        <is>
          <t>GSM4212UX</t>
        </is>
      </c>
      <c r="C93" s="43" t="inlineStr">
        <is>
          <t>Service</t>
        </is>
      </c>
      <c r="D93" s="43" t="inlineStr">
        <is>
          <t>OnCall Cat 2</t>
        </is>
      </c>
      <c r="E93" s="43" t="inlineStr">
        <is>
          <t>Optional support</t>
        </is>
      </c>
      <c r="F93" s="43" t="n"/>
      <c r="G93" s="43" t="inlineStr">
        <is>
          <t>PMB0312 / PMB0332 / PMB0352 (1/3/5 yr)</t>
        </is>
      </c>
    </row>
    <row r="94" ht="15" customHeight="1" s="29">
      <c r="A94" s="43" t="inlineStr">
        <is>
          <t>Product</t>
        </is>
      </c>
      <c r="B94" s="43" t="inlineStr">
        <is>
          <t>GSM4230P</t>
        </is>
      </c>
      <c r="C94" s="43" t="inlineStr">
        <is>
          <t>Service</t>
        </is>
      </c>
      <c r="D94" s="43" t="inlineStr">
        <is>
          <t>OnCall Cat 2</t>
        </is>
      </c>
      <c r="E94" s="43" t="inlineStr">
        <is>
          <t>Optional support</t>
        </is>
      </c>
      <c r="F94" s="43" t="n"/>
      <c r="G94" s="43" t="inlineStr">
        <is>
          <t>PMB0312 / PMB0332 / PMB0352 (1/3/5 yr)</t>
        </is>
      </c>
    </row>
    <row r="95" ht="15" customHeight="1" s="29">
      <c r="A95" s="43" t="inlineStr">
        <is>
          <t>Product</t>
        </is>
      </c>
      <c r="B95" s="43" t="inlineStr">
        <is>
          <t>GSM4230UP</t>
        </is>
      </c>
      <c r="C95" s="43" t="inlineStr">
        <is>
          <t>Service</t>
        </is>
      </c>
      <c r="D95" s="43" t="inlineStr">
        <is>
          <t>OnCall Cat 3</t>
        </is>
      </c>
      <c r="E95" s="43" t="inlineStr">
        <is>
          <t>Optional support</t>
        </is>
      </c>
      <c r="F95" s="43" t="n"/>
      <c r="G95" s="43" t="inlineStr">
        <is>
          <t>PMB0313 / PMB0333 / PMB0353 (1/3/5 yr)</t>
        </is>
      </c>
    </row>
    <row r="96" ht="15" customHeight="1" s="29">
      <c r="A96" s="43" t="inlineStr">
        <is>
          <t>Product</t>
        </is>
      </c>
      <c r="B96" s="43" t="inlineStr">
        <is>
          <t>GSM4230PX</t>
        </is>
      </c>
      <c r="C96" s="43" t="inlineStr">
        <is>
          <t>Service</t>
        </is>
      </c>
      <c r="D96" s="43" t="inlineStr">
        <is>
          <t>OnCall Cat 3</t>
        </is>
      </c>
      <c r="E96" s="43" t="inlineStr">
        <is>
          <t>Optional support</t>
        </is>
      </c>
      <c r="F96" s="43" t="n"/>
      <c r="G96" s="43" t="inlineStr">
        <is>
          <t>PMB0313 / PMB0333 / PMB0353 (1/3/5 yr)</t>
        </is>
      </c>
    </row>
    <row r="97" ht="15" customHeight="1" s="29">
      <c r="A97" s="43" t="inlineStr">
        <is>
          <t>Product</t>
        </is>
      </c>
      <c r="B97" s="43" t="inlineStr">
        <is>
          <t>GSM4248P</t>
        </is>
      </c>
      <c r="C97" s="43" t="inlineStr">
        <is>
          <t>Service</t>
        </is>
      </c>
      <c r="D97" s="43" t="inlineStr">
        <is>
          <t>OnCall Cat 3</t>
        </is>
      </c>
      <c r="E97" s="43" t="inlineStr">
        <is>
          <t>Optional support</t>
        </is>
      </c>
      <c r="F97" s="43" t="n"/>
      <c r="G97" s="43" t="inlineStr">
        <is>
          <t>PMB0313 / PMB0333 / PMB0353 (1/3/5 yr)</t>
        </is>
      </c>
    </row>
    <row r="98" ht="15" customHeight="1" s="29">
      <c r="A98" s="43" t="inlineStr">
        <is>
          <t>Product</t>
        </is>
      </c>
      <c r="B98" s="43" t="inlineStr">
        <is>
          <t>GSM4248PX</t>
        </is>
      </c>
      <c r="C98" s="43" t="inlineStr">
        <is>
          <t>Service</t>
        </is>
      </c>
      <c r="D98" s="43" t="inlineStr">
        <is>
          <t>OnCall Cat 3</t>
        </is>
      </c>
      <c r="E98" s="43" t="inlineStr">
        <is>
          <t>Optional support</t>
        </is>
      </c>
      <c r="F98" s="43" t="n"/>
      <c r="G98" s="43" t="inlineStr">
        <is>
          <t>PMB0313 / PMB0333 / PMB0353 (1/3/5 yr)</t>
        </is>
      </c>
    </row>
    <row r="99" ht="15" customHeight="1" s="29">
      <c r="A99" s="43" t="inlineStr">
        <is>
          <t>Product</t>
        </is>
      </c>
      <c r="B99" s="43" t="inlineStr">
        <is>
          <t>GSM4248UX</t>
        </is>
      </c>
      <c r="C99" s="43" t="inlineStr">
        <is>
          <t>Service</t>
        </is>
      </c>
      <c r="D99" s="43" t="inlineStr">
        <is>
          <t>OnCall Cat 3</t>
        </is>
      </c>
      <c r="E99" s="43" t="inlineStr">
        <is>
          <t>Optional support</t>
        </is>
      </c>
      <c r="F99" s="43" t="n"/>
      <c r="G99" s="43" t="inlineStr">
        <is>
          <t>PMB0313 / PMB0333 / PMB0353 (1/3/5 yr)</t>
        </is>
      </c>
    </row>
    <row r="100" ht="15" customHeight="1" s="29">
      <c r="A100" s="43" t="inlineStr">
        <is>
          <t>Product</t>
        </is>
      </c>
      <c r="B100" s="43" t="inlineStr">
        <is>
          <t>MSM4214X</t>
        </is>
      </c>
      <c r="C100" s="43" t="inlineStr">
        <is>
          <t>Service</t>
        </is>
      </c>
      <c r="D100" s="43" t="inlineStr">
        <is>
          <t>OnCall Cat 2</t>
        </is>
      </c>
      <c r="E100" s="43" t="inlineStr">
        <is>
          <t>Optional support</t>
        </is>
      </c>
      <c r="F100" s="43" t="n"/>
      <c r="G100" s="43" t="inlineStr">
        <is>
          <t>PMB0312 / PMB0332 / PMB0352 (1/3/5 yr)</t>
        </is>
      </c>
    </row>
    <row r="101" ht="15" customHeight="1" s="29">
      <c r="A101" s="43" t="inlineStr">
        <is>
          <t>Product</t>
        </is>
      </c>
      <c r="B101" s="43" t="inlineStr">
        <is>
          <t>XSM4216F</t>
        </is>
      </c>
      <c r="C101" s="43" t="inlineStr">
        <is>
          <t>Service</t>
        </is>
      </c>
      <c r="D101" s="43" t="inlineStr">
        <is>
          <t>OnCall Cat 2</t>
        </is>
      </c>
      <c r="E101" s="43" t="inlineStr">
        <is>
          <t>Optional support</t>
        </is>
      </c>
      <c r="F101" s="43" t="n"/>
      <c r="G101" s="43" t="inlineStr">
        <is>
          <t>PMB0312 / PMB0332 / PMB0352 (1/3/5 yr)</t>
        </is>
      </c>
    </row>
    <row r="102" ht="15" customHeight="1" s="29">
      <c r="A102" s="43" t="inlineStr">
        <is>
          <t>Product</t>
        </is>
      </c>
      <c r="B102" s="43" t="inlineStr">
        <is>
          <t>GSM4328</t>
        </is>
      </c>
      <c r="C102" s="43" t="inlineStr">
        <is>
          <t>Service</t>
        </is>
      </c>
      <c r="D102" s="43" t="inlineStr">
        <is>
          <t>OnCall Cat 3</t>
        </is>
      </c>
      <c r="E102" s="43" t="inlineStr">
        <is>
          <t>Optional support</t>
        </is>
      </c>
      <c r="F102" s="43" t="n"/>
      <c r="G102" s="43" t="inlineStr">
        <is>
          <t>PMB0313 / PMB0333 / PMB0353 (1/3/5 yr)</t>
        </is>
      </c>
    </row>
    <row r="103" ht="15" customHeight="1" s="29">
      <c r="A103" s="43" t="inlineStr">
        <is>
          <t>Product</t>
        </is>
      </c>
      <c r="B103" s="43" t="inlineStr">
        <is>
          <t>GSM4352</t>
        </is>
      </c>
      <c r="C103" s="43" t="inlineStr">
        <is>
          <t>Service</t>
        </is>
      </c>
      <c r="D103" s="43" t="inlineStr">
        <is>
          <t>OnCall Cat 3</t>
        </is>
      </c>
      <c r="E103" s="43" t="inlineStr">
        <is>
          <t>Optional support</t>
        </is>
      </c>
      <c r="F103" s="43" t="n"/>
      <c r="G103" s="43" t="inlineStr">
        <is>
          <t>PMB0313 / PMB0333 / PMB0353 (1/3/5 yr)</t>
        </is>
      </c>
    </row>
    <row r="104" ht="15" customHeight="1" s="29">
      <c r="A104" s="43" t="inlineStr">
        <is>
          <t>Product</t>
        </is>
      </c>
      <c r="B104" s="43" t="inlineStr">
        <is>
          <t>MSM4310</t>
        </is>
      </c>
      <c r="C104" s="43" t="inlineStr">
        <is>
          <t>Service</t>
        </is>
      </c>
      <c r="D104" s="43" t="inlineStr">
        <is>
          <t>OnCall Cat 3</t>
        </is>
      </c>
      <c r="E104" s="43" t="inlineStr">
        <is>
          <t>Optional support</t>
        </is>
      </c>
      <c r="F104" s="43" t="n"/>
      <c r="G104" s="43" t="inlineStr">
        <is>
          <t>PMB0313 / PMB0333 / PMB0353 (1/3/5 yr)</t>
        </is>
      </c>
    </row>
    <row r="105" ht="15" customHeight="1" s="29">
      <c r="A105" s="43" t="inlineStr">
        <is>
          <t>Product</t>
        </is>
      </c>
      <c r="B105" s="43" t="inlineStr">
        <is>
          <t>MSM4332</t>
        </is>
      </c>
      <c r="C105" s="43" t="inlineStr">
        <is>
          <t>Service</t>
        </is>
      </c>
      <c r="D105" s="43" t="inlineStr">
        <is>
          <t>OnCall Cat 3</t>
        </is>
      </c>
      <c r="E105" s="43" t="inlineStr">
        <is>
          <t>Optional support</t>
        </is>
      </c>
      <c r="F105" s="43" t="n"/>
      <c r="G105" s="43" t="inlineStr">
        <is>
          <t>PMB0313 / PMB0333 / PMB0353 (1/3/5 yr)</t>
        </is>
      </c>
    </row>
    <row r="106" ht="15" customHeight="1" s="29">
      <c r="A106" s="43" t="inlineStr">
        <is>
          <t>Product</t>
        </is>
      </c>
      <c r="B106" s="43" t="inlineStr">
        <is>
          <t>MSM4352</t>
        </is>
      </c>
      <c r="C106" s="43" t="inlineStr">
        <is>
          <t>Service</t>
        </is>
      </c>
      <c r="D106" s="43" t="inlineStr">
        <is>
          <t>OnCall Cat 3</t>
        </is>
      </c>
      <c r="E106" s="43" t="inlineStr">
        <is>
          <t>Optional support</t>
        </is>
      </c>
      <c r="F106" s="43" t="n"/>
      <c r="G106" s="43" t="inlineStr">
        <is>
          <t>PMB0313 / PMB0333 / PMB0353 (1/3/5 yr)</t>
        </is>
      </c>
    </row>
    <row r="107" ht="15" customHeight="1" s="29">
      <c r="A107" s="43" t="inlineStr">
        <is>
          <t>Product</t>
        </is>
      </c>
      <c r="B107" s="43" t="inlineStr">
        <is>
          <t>MSM4328F</t>
        </is>
      </c>
      <c r="C107" s="43" t="inlineStr">
        <is>
          <t>Service</t>
        </is>
      </c>
      <c r="D107" s="43" t="inlineStr">
        <is>
          <t>OnCall Cat 3</t>
        </is>
      </c>
      <c r="E107" s="43" t="inlineStr">
        <is>
          <t>Optional support</t>
        </is>
      </c>
      <c r="F107" s="43" t="n"/>
      <c r="G107" s="43" t="inlineStr">
        <is>
          <t>PMB0313 / PMB0333 / PMB0353 (1/3/5 yr)</t>
        </is>
      </c>
    </row>
    <row r="108" ht="15" customHeight="1" s="29">
      <c r="A108" s="43" t="inlineStr">
        <is>
          <t>Product</t>
        </is>
      </c>
      <c r="B108" s="43" t="inlineStr">
        <is>
          <t>XSM4316</t>
        </is>
      </c>
      <c r="C108" s="43" t="inlineStr">
        <is>
          <t>Service</t>
        </is>
      </c>
      <c r="D108" s="43" t="inlineStr">
        <is>
          <t>OnCall Cat 3</t>
        </is>
      </c>
      <c r="E108" s="43" t="inlineStr">
        <is>
          <t>Optional support</t>
        </is>
      </c>
      <c r="F108" s="43" t="n"/>
      <c r="G108" s="43" t="inlineStr">
        <is>
          <t>PMB0313 / PMB0333 / PMB0353 (1/3/5 yr)</t>
        </is>
      </c>
    </row>
    <row r="109" ht="15" customHeight="1" s="29">
      <c r="A109" s="43" t="inlineStr">
        <is>
          <t>Product</t>
        </is>
      </c>
      <c r="B109" s="43" t="inlineStr">
        <is>
          <t>XSM4324</t>
        </is>
      </c>
      <c r="C109" s="43" t="inlineStr">
        <is>
          <t>Service</t>
        </is>
      </c>
      <c r="D109" s="43" t="inlineStr">
        <is>
          <t>OnCall Cat 3</t>
        </is>
      </c>
      <c r="E109" s="43" t="inlineStr">
        <is>
          <t>Optional support</t>
        </is>
      </c>
      <c r="F109" s="43" t="n"/>
      <c r="G109" s="43" t="inlineStr">
        <is>
          <t>PMB0313 / PMB0333 / PMB0353 (1/3/5 yr)</t>
        </is>
      </c>
    </row>
    <row r="110" ht="15" customHeight="1" s="29">
      <c r="A110" s="43" t="inlineStr">
        <is>
          <t>Product</t>
        </is>
      </c>
      <c r="B110" s="43" t="inlineStr">
        <is>
          <t>XSM4328CV</t>
        </is>
      </c>
      <c r="C110" s="43" t="inlineStr">
        <is>
          <t>Service</t>
        </is>
      </c>
      <c r="D110" s="43" t="inlineStr">
        <is>
          <t>OnCall Cat 3</t>
        </is>
      </c>
      <c r="E110" s="43" t="inlineStr">
        <is>
          <t>Optional support</t>
        </is>
      </c>
      <c r="F110" s="43" t="n"/>
      <c r="G110" s="43" t="inlineStr">
        <is>
          <t>PMB0313 / PMB0333 / PMB0353 (1/3/5 yr)</t>
        </is>
      </c>
    </row>
    <row r="111" ht="15" customHeight="1" s="29">
      <c r="A111" s="43" t="inlineStr">
        <is>
          <t>Product</t>
        </is>
      </c>
      <c r="B111" s="43" t="inlineStr">
        <is>
          <t>XSM4328FV</t>
        </is>
      </c>
      <c r="C111" s="43" t="inlineStr">
        <is>
          <t>Service</t>
        </is>
      </c>
      <c r="D111" s="43" t="inlineStr">
        <is>
          <t>OnCall Cat 3</t>
        </is>
      </c>
      <c r="E111" s="43" t="inlineStr">
        <is>
          <t>Optional support</t>
        </is>
      </c>
      <c r="F111" s="43" t="n"/>
      <c r="G111" s="43" t="inlineStr">
        <is>
          <t>PMB0313 / PMB0333 / PMB0353 (1/3/5 yr)</t>
        </is>
      </c>
    </row>
    <row r="112" ht="15" customHeight="1" s="29">
      <c r="A112" s="43" t="inlineStr">
        <is>
          <t>Product</t>
        </is>
      </c>
      <c r="B112" s="43" t="inlineStr">
        <is>
          <t>XSM4340CV</t>
        </is>
      </c>
      <c r="C112" s="43" t="inlineStr">
        <is>
          <t>Service</t>
        </is>
      </c>
      <c r="D112" s="43" t="inlineStr">
        <is>
          <t>OnCall Cat 4</t>
        </is>
      </c>
      <c r="E112" s="43" t="inlineStr">
        <is>
          <t>Optional support</t>
        </is>
      </c>
      <c r="F112" s="43" t="n"/>
      <c r="G112" s="43" t="inlineStr">
        <is>
          <t>PMB0314 / PMB0334 / PMB0354 (1/3/5 yr)</t>
        </is>
      </c>
    </row>
    <row r="113" ht="15" customHeight="1" s="29">
      <c r="A113" s="43" t="inlineStr">
        <is>
          <t>Product</t>
        </is>
      </c>
      <c r="B113" s="43" t="inlineStr">
        <is>
          <t>XSM4340V</t>
        </is>
      </c>
      <c r="C113" s="43" t="inlineStr">
        <is>
          <t>Service</t>
        </is>
      </c>
      <c r="D113" s="43" t="inlineStr">
        <is>
          <t>OnCall Cat 4</t>
        </is>
      </c>
      <c r="E113" s="43" t="inlineStr">
        <is>
          <t>Optional support</t>
        </is>
      </c>
      <c r="F113" s="43" t="n"/>
      <c r="G113" s="43" t="inlineStr">
        <is>
          <t>PMB0314 / PMB0334 / PMB0354 (1/3/5 yr)</t>
        </is>
      </c>
    </row>
    <row r="114" ht="15" customHeight="1" s="29">
      <c r="A114" s="43" t="inlineStr">
        <is>
          <t>Product</t>
        </is>
      </c>
      <c r="B114" s="43" t="inlineStr">
        <is>
          <t>XSM4340FV</t>
        </is>
      </c>
      <c r="C114" s="43" t="inlineStr">
        <is>
          <t>Service</t>
        </is>
      </c>
      <c r="D114" s="43" t="inlineStr">
        <is>
          <t>OnCall Cat 4</t>
        </is>
      </c>
      <c r="E114" s="43" t="inlineStr">
        <is>
          <t>Optional support</t>
        </is>
      </c>
      <c r="F114" s="43" t="n"/>
      <c r="G114" s="43" t="inlineStr">
        <is>
          <t>PMB0314 / PMB0334 / PMB0354 (1/3/5 yr)</t>
        </is>
      </c>
    </row>
    <row r="115" ht="15" customHeight="1" s="29">
      <c r="A115" s="43" t="inlineStr">
        <is>
          <t>Product</t>
        </is>
      </c>
      <c r="B115" s="43" t="inlineStr">
        <is>
          <t>VSM4320C</t>
        </is>
      </c>
      <c r="C115" s="43" t="inlineStr">
        <is>
          <t>Service</t>
        </is>
      </c>
      <c r="D115" s="43" t="inlineStr">
        <is>
          <t>OnCall Cat 4</t>
        </is>
      </c>
      <c r="E115" s="43" t="inlineStr">
        <is>
          <t>Optional support</t>
        </is>
      </c>
      <c r="F115" s="43" t="n"/>
      <c r="G115" s="43" t="inlineStr">
        <is>
          <t>PMB0314 / PMB0334 / PMB0354 (1/3/5 yr)</t>
        </is>
      </c>
    </row>
    <row r="116" ht="15" customHeight="1" s="29">
      <c r="A116" s="43" t="inlineStr">
        <is>
          <t>Product</t>
        </is>
      </c>
      <c r="B116" s="43" t="inlineStr">
        <is>
          <t>XSM4344C</t>
        </is>
      </c>
      <c r="C116" s="43" t="inlineStr">
        <is>
          <t>Service</t>
        </is>
      </c>
      <c r="D116" s="43" t="inlineStr">
        <is>
          <t>OnCall Cat 4</t>
        </is>
      </c>
      <c r="E116" s="43" t="inlineStr">
        <is>
          <t>Optional support</t>
        </is>
      </c>
      <c r="F116" s="43" t="n"/>
      <c r="G116" s="43" t="inlineStr">
        <is>
          <t>PMB0314 / PMB0334 / PMB0354 (1/3/5 yr)</t>
        </is>
      </c>
    </row>
    <row r="117" ht="15" customHeight="1" s="29">
      <c r="A117" s="43" t="inlineStr">
        <is>
          <t>Product</t>
        </is>
      </c>
      <c r="B117" s="43" t="inlineStr">
        <is>
          <t>XSM4344FC</t>
        </is>
      </c>
      <c r="C117" s="43" t="inlineStr">
        <is>
          <t>Service</t>
        </is>
      </c>
      <c r="D117" s="43" t="inlineStr">
        <is>
          <t>OnCall Cat 4</t>
        </is>
      </c>
      <c r="E117" s="43" t="inlineStr">
        <is>
          <t>Optional support</t>
        </is>
      </c>
      <c r="F117" s="43" t="n"/>
      <c r="G117" s="43" t="inlineStr">
        <is>
          <t>PMB0314 / PMB0334 / PMB0354 (1/3/5 yr)</t>
        </is>
      </c>
    </row>
    <row r="118" ht="15" customHeight="1" s="29">
      <c r="A118" s="43" t="inlineStr">
        <is>
          <t>Family</t>
        </is>
      </c>
      <c r="B118" s="43" t="inlineStr">
        <is>
          <t>M4250</t>
        </is>
      </c>
      <c r="C118" s="43" t="inlineStr">
        <is>
          <t>Service</t>
        </is>
      </c>
      <c r="D118" s="43" t="inlineStr">
        <is>
          <t>PSB0304</t>
        </is>
      </c>
      <c r="E118" s="43" t="inlineStr">
        <is>
          <t>Optional install service</t>
        </is>
      </c>
      <c r="F118" s="43" t="n"/>
      <c r="G118" s="43" t="inlineStr">
        <is>
          <t>Remote install/config, 2-hr</t>
        </is>
      </c>
    </row>
    <row r="119" ht="15" customHeight="1" s="29">
      <c r="A119" s="43" t="inlineStr">
        <is>
          <t>Product</t>
        </is>
      </c>
      <c r="B119" s="43" t="inlineStr">
        <is>
          <t>PR460X</t>
        </is>
      </c>
      <c r="C119" s="43" t="inlineStr">
        <is>
          <t>License</t>
        </is>
      </c>
      <c r="D119" s="43" t="inlineStr">
        <is>
          <t>SEC-PR460X</t>
        </is>
      </c>
      <c r="E119" s="43" t="inlineStr">
        <is>
          <t>Optional security license</t>
        </is>
      </c>
      <c r="F119" s="43" t="n"/>
      <c r="G119" s="51" t="inlineStr">
        <is>
          <t>Insight management path only (not with Engage)</t>
        </is>
      </c>
    </row>
    <row r="120" ht="15" customHeight="1" s="29">
      <c r="A120" s="43" t="inlineStr">
        <is>
          <t>Product</t>
        </is>
      </c>
      <c r="B120" s="43" t="inlineStr">
        <is>
          <t>WBE718</t>
        </is>
      </c>
      <c r="C120" s="43" t="inlineStr">
        <is>
          <t>Service</t>
        </is>
      </c>
      <c r="D120" s="43" t="inlineStr">
        <is>
          <t>SPR-WBE718</t>
        </is>
      </c>
      <c r="E120" s="43" t="inlineStr">
        <is>
          <t>Optional support</t>
        </is>
      </c>
      <c r="F120" s="43" t="n"/>
      <c r="G120" s="43" t="inlineStr">
        <is>
          <t>Sprint 1/3/5 yr</t>
        </is>
      </c>
    </row>
    <row r="121" ht="15" customHeight="1" s="29">
      <c r="A121" s="43" t="inlineStr">
        <is>
          <t>Product</t>
        </is>
      </c>
      <c r="B121" s="43" t="inlineStr">
        <is>
          <t>WBE718</t>
        </is>
      </c>
      <c r="C121" s="43" t="inlineStr">
        <is>
          <t>Service</t>
        </is>
      </c>
      <c r="D121" s="43" t="inlineStr">
        <is>
          <t>DRV-WBE718</t>
        </is>
      </c>
      <c r="E121" s="43" t="inlineStr">
        <is>
          <t>Optional support</t>
        </is>
      </c>
      <c r="F121" s="43" t="n"/>
      <c r="G121" s="43" t="inlineStr">
        <is>
          <t>Drive/Overdrive 1/3/5 yr</t>
        </is>
      </c>
    </row>
    <row r="122" ht="15" customHeight="1" s="29">
      <c r="A122" s="43" t="inlineStr">
        <is>
          <t>Product</t>
        </is>
      </c>
      <c r="B122" s="43" t="inlineStr">
        <is>
          <t>WBE758</t>
        </is>
      </c>
      <c r="C122" s="43" t="inlineStr">
        <is>
          <t>Service</t>
        </is>
      </c>
      <c r="D122" s="43" t="inlineStr">
        <is>
          <t>SPR-WBE758</t>
        </is>
      </c>
      <c r="E122" s="43" t="inlineStr">
        <is>
          <t>Optional support</t>
        </is>
      </c>
      <c r="F122" s="43" t="n"/>
      <c r="G122" s="43" t="inlineStr">
        <is>
          <t>Sprint 1/3/5 yr</t>
        </is>
      </c>
    </row>
    <row r="123" ht="15" customHeight="1" s="29">
      <c r="A123" s="43" t="inlineStr">
        <is>
          <t>Product</t>
        </is>
      </c>
      <c r="B123" s="43" t="inlineStr">
        <is>
          <t>WBE758</t>
        </is>
      </c>
      <c r="C123" s="43" t="inlineStr">
        <is>
          <t>Service</t>
        </is>
      </c>
      <c r="D123" s="43" t="inlineStr">
        <is>
          <t>DRV-WBE758</t>
        </is>
      </c>
      <c r="E123" s="43" t="inlineStr">
        <is>
          <t>Optional support</t>
        </is>
      </c>
      <c r="F123" s="43" t="n"/>
      <c r="G123" s="43" t="inlineStr">
        <is>
          <t>Drive/Overdrive 1/3/5 yr</t>
        </is>
      </c>
    </row>
    <row r="124" ht="15" customHeight="1" s="29">
      <c r="A124" s="43" t="inlineStr">
        <is>
          <t>Family</t>
        </is>
      </c>
      <c r="B124" s="43" t="inlineStr">
        <is>
          <t>M4350</t>
        </is>
      </c>
      <c r="C124" s="43" t="inlineStr">
        <is>
          <t>SFP28</t>
        </is>
      </c>
      <c r="D124" s="43" t="inlineStr">
        <is>
          <t>NGS25G-LR-OC</t>
        </is>
      </c>
      <c r="E124" s="43" t="inlineStr">
        <is>
          <t>Optional optic/cable</t>
        </is>
      </c>
      <c r="F124" s="43" t="n"/>
      <c r="G124" s="43" t="inlineStr">
        <is>
          <t>25G module: forces the whole 4-port SFP28 block to 25G (R01). Validated in KB 000066694</t>
        </is>
      </c>
    </row>
    <row r="125" ht="15" customHeight="1" s="29">
      <c r="A125" s="43" t="inlineStr">
        <is>
          <t>Family</t>
        </is>
      </c>
      <c r="B125" s="43" t="inlineStr">
        <is>
          <t>M4350</t>
        </is>
      </c>
      <c r="C125" s="43" t="inlineStr">
        <is>
          <t>QSFP28</t>
        </is>
      </c>
      <c r="D125" s="43" t="inlineStr">
        <is>
          <t>NGQ100G-SR4-OC</t>
        </is>
      </c>
      <c r="E125" s="43" t="inlineStr">
        <is>
          <t>Optional optic/cable</t>
        </is>
      </c>
      <c r="F125" s="43" t="n"/>
      <c r="G125" s="43" t="inlineStr">
        <is>
          <t>100G QSFP28 port. Validated in KB 000066694</t>
        </is>
      </c>
    </row>
    <row r="126" ht="15" customHeight="1" s="29">
      <c r="A126" s="43" t="inlineStr">
        <is>
          <t>Family</t>
        </is>
      </c>
      <c r="B126" s="43" t="inlineStr">
        <is>
          <t>M4350</t>
        </is>
      </c>
      <c r="C126" s="43" t="inlineStr">
        <is>
          <t>QSFP28</t>
        </is>
      </c>
      <c r="D126" s="43" t="inlineStr">
        <is>
          <t>NGQ100G-LR4-OC</t>
        </is>
      </c>
      <c r="E126" s="43" t="inlineStr">
        <is>
          <t>Optional optic/cable</t>
        </is>
      </c>
      <c r="F126" s="43" t="n"/>
      <c r="G126" s="43" t="inlineStr">
        <is>
          <t>100G QSFP28 port. Validated in KB 000066694</t>
        </is>
      </c>
    </row>
    <row r="127" ht="15" customHeight="1" s="29">
      <c r="A127" s="43" t="inlineStr">
        <is>
          <t>Family</t>
        </is>
      </c>
      <c r="B127" s="43" t="inlineStr">
        <is>
          <t>M4350</t>
        </is>
      </c>
      <c r="C127" s="43" t="inlineStr">
        <is>
          <t>QSFP28</t>
        </is>
      </c>
      <c r="D127" s="43" t="inlineStr">
        <is>
          <t>NGQ100G-PSM4-OC</t>
        </is>
      </c>
      <c r="E127" s="43" t="inlineStr">
        <is>
          <t>Optional optic/cable</t>
        </is>
      </c>
      <c r="F127" s="43" t="n"/>
      <c r="G127" s="43" t="inlineStr">
        <is>
          <t>100G QSFP28 port. Validated in KB 000066694</t>
        </is>
      </c>
    </row>
    <row r="128" ht="15" customHeight="1" s="29">
      <c r="A128" s="43" t="inlineStr">
        <is>
          <t>Family</t>
        </is>
      </c>
      <c r="B128" s="43" t="inlineStr">
        <is>
          <t>M4350</t>
        </is>
      </c>
      <c r="C128" s="43" t="inlineStr">
        <is>
          <t>SFP28</t>
        </is>
      </c>
      <c r="D128" s="43" t="inlineStr">
        <is>
          <t>NGS25G-CUxM-OC</t>
        </is>
      </c>
      <c r="E128" s="43" t="inlineStr">
        <is>
          <t>Optional optic/cable</t>
        </is>
      </c>
      <c r="F128" s="43" t="n"/>
      <c r="G128" s="43" t="inlineStr">
        <is>
          <t>25G module: forces the whole 4-port SFP28 block to 25G (R01). Validated in KB 000066694</t>
        </is>
      </c>
    </row>
    <row r="129" ht="15" customHeight="1" s="29">
      <c r="A129" s="43" t="inlineStr">
        <is>
          <t>Family</t>
        </is>
      </c>
      <c r="B129" s="43" t="inlineStr">
        <is>
          <t>M4350</t>
        </is>
      </c>
      <c r="C129" s="43" t="inlineStr">
        <is>
          <t>SFP28</t>
        </is>
      </c>
      <c r="D129" s="43" t="inlineStr">
        <is>
          <t>NGS25G-AOxM-OC</t>
        </is>
      </c>
      <c r="E129" s="43" t="inlineStr">
        <is>
          <t>Optional optic/cable</t>
        </is>
      </c>
      <c r="F129" s="43" t="n"/>
      <c r="G129" s="43" t="inlineStr">
        <is>
          <t>25G module: forces the whole 4-port SFP28 block to 25G (R01). Validated in KB 000066694</t>
        </is>
      </c>
    </row>
    <row r="130" ht="15" customHeight="1" s="29">
      <c r="A130" s="43" t="inlineStr">
        <is>
          <t>Family</t>
        </is>
      </c>
      <c r="B130" s="43" t="inlineStr">
        <is>
          <t>M4350</t>
        </is>
      </c>
      <c r="C130" s="43" t="inlineStr">
        <is>
          <t>QSFP28</t>
        </is>
      </c>
      <c r="D130" s="43" t="inlineStr">
        <is>
          <t>NGQ100G-CUxM-OC</t>
        </is>
      </c>
      <c r="E130" s="43" t="inlineStr">
        <is>
          <t>Optional optic/cable</t>
        </is>
      </c>
      <c r="F130" s="43" t="n"/>
      <c r="G130" s="43" t="inlineStr">
        <is>
          <t>100G QSFP28 port. Validated in KB 000066694</t>
        </is>
      </c>
    </row>
    <row r="131" ht="15" customHeight="1" s="29">
      <c r="A131" s="43" t="inlineStr">
        <is>
          <t>Family</t>
        </is>
      </c>
      <c r="B131" s="43" t="inlineStr">
        <is>
          <t>M4350</t>
        </is>
      </c>
      <c r="C131" s="43" t="inlineStr">
        <is>
          <t>QSFP28</t>
        </is>
      </c>
      <c r="D131" s="43" t="inlineStr">
        <is>
          <t>NGQ100G-AOxM-OC</t>
        </is>
      </c>
      <c r="E131" s="43" t="inlineStr">
        <is>
          <t>Optional optic/cable</t>
        </is>
      </c>
      <c r="F131" s="43" t="n"/>
      <c r="G131" s="43" t="inlineStr">
        <is>
          <t>100G QSFP28 port. Validated in KB 000066694</t>
        </is>
      </c>
    </row>
    <row r="132" ht="15" customHeight="1" s="29">
      <c r="A132" s="43" t="inlineStr">
        <is>
          <t>Family</t>
        </is>
      </c>
      <c r="B132" s="43" t="inlineStr">
        <is>
          <t>M4350</t>
        </is>
      </c>
      <c r="C132" s="43" t="inlineStr">
        <is>
          <t>QSFP28 (breakout)</t>
        </is>
      </c>
      <c r="D132" s="43" t="inlineStr">
        <is>
          <t>NGQ4X25-CUxM-OC</t>
        </is>
      </c>
      <c r="E132" s="43" t="inlineStr">
        <is>
          <t>Optional optic/cable</t>
        </is>
      </c>
      <c r="F132" s="43" t="n"/>
      <c r="G132" s="43" t="inlineStr">
        <is>
          <t>QSFP28 port in 4x25G breakout mode; SFP28 ends force their blocks to 25G (R01). Validated in KB 000066694</t>
        </is>
      </c>
    </row>
    <row r="133" ht="15" customHeight="1" s="29">
      <c r="A133" s="43" t="inlineStr">
        <is>
          <t>Family</t>
        </is>
      </c>
      <c r="B133" s="43" t="inlineStr">
        <is>
          <t>M4350</t>
        </is>
      </c>
      <c r="C133" s="43" t="inlineStr">
        <is>
          <t>QSFP28 (breakout)</t>
        </is>
      </c>
      <c r="D133" s="43" t="inlineStr">
        <is>
          <t>NGQ4X25-AOxM-OC</t>
        </is>
      </c>
      <c r="E133" s="43" t="inlineStr">
        <is>
          <t>Optional optic/cable</t>
        </is>
      </c>
      <c r="F133" s="43" t="n"/>
      <c r="G133" s="43" t="inlineStr">
        <is>
          <t>QSFP28 port in 4x25G breakout mode; SFP28 ends force their blocks to 25G (R01). Validated in KB 000066694</t>
        </is>
      </c>
    </row>
  </sheetData>
  <mergeCells count="2">
    <mergeCell ref="A2:G2"/>
    <mergeCell ref="A1:G1"/>
  </mergeCells>
  <dataValidations count="1">
    <dataValidation sqref="A5:A1000" showDropDown="0" showInputMessage="0" showErrorMessage="0" allowBlank="1" type="list" errorStyle="stop" operator="between">
      <formula1>Lists!$I$5:$I$6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20" customWidth="1" style="28" min="2" max="2"/>
    <col width="18" customWidth="1" style="28" min="3" max="3"/>
    <col width="15" customWidth="1" style="28" min="4" max="4"/>
    <col width="8" customWidth="1" style="28" min="5" max="5"/>
    <col width="12" customWidth="1" style="28" min="6" max="6"/>
    <col width="11" customWidth="1" style="28" min="7" max="7"/>
    <col width="13" customWidth="1" style="28" min="8" max="9"/>
    <col width="12" customWidth="1" style="28" min="10" max="10"/>
    <col width="24" customWidth="1" style="28" min="11" max="11"/>
    <col width="30" customWidth="1" style="28" min="12" max="12"/>
  </cols>
  <sheetData>
    <row r="1" ht="30" customHeight="1" s="29">
      <c r="A1" s="30" t="inlineStr">
        <is>
          <t>PoE Budget by PSU Configuration (RPS + EPS)</t>
        </is>
      </c>
    </row>
    <row r="2" ht="15" customHeight="1" s="29">
      <c r="A2" s="31" t="inlineStr">
        <is>
          <t>EPS = all PSUs powered. 'If internal fails' is from the datasheet matrix; 'If one module fails' = same config with one module fewer. Protected (grey) = worst case of the two = what to design to when redundancy is required. Blank = non-PoE model.</t>
        </is>
      </c>
    </row>
    <row r="4" ht="31.5" customHeight="1" s="29">
      <c r="A4" s="42" t="inlineStr">
        <is>
          <t>Product_ID</t>
        </is>
      </c>
      <c r="B4" s="42" t="inlineStr">
        <is>
          <t>Model_Name</t>
        </is>
      </c>
      <c r="C4" s="42" t="inlineStr">
        <is>
          <t>Internal_PSU</t>
        </is>
      </c>
      <c r="D4" s="42" t="inlineStr">
        <is>
          <t>PSU_Module</t>
        </is>
      </c>
      <c r="E4" s="42" t="inlineStr">
        <is>
          <t>Module_Qty</t>
        </is>
      </c>
      <c r="F4" s="42" t="inlineStr">
        <is>
          <t>Input_Voltage</t>
        </is>
      </c>
      <c r="G4" s="42" t="inlineStr">
        <is>
          <t>PoE_Budget_EPS_W</t>
        </is>
      </c>
      <c r="H4" s="42" t="inlineStr">
        <is>
          <t>PoE_If_Internal_PSU_Fails_W</t>
        </is>
      </c>
      <c r="I4" s="42" t="inlineStr">
        <is>
          <t>PoE_If_One_Module_Fails_W</t>
        </is>
      </c>
      <c r="J4" s="42" t="inlineStr">
        <is>
          <t>PoE_Budget_Protected_W</t>
        </is>
      </c>
      <c r="K4" s="42" t="inlineStr">
        <is>
          <t>Config_Label</t>
        </is>
      </c>
      <c r="L4" s="42" t="inlineStr">
        <is>
          <t>Notes</t>
        </is>
      </c>
    </row>
    <row r="5" ht="15" customHeight="1" s="29">
      <c r="A5" s="43" t="inlineStr">
        <is>
          <t>GSM4328</t>
        </is>
      </c>
      <c r="B5" s="43" t="inlineStr">
        <is>
          <t>M4350-24G4XF</t>
        </is>
      </c>
      <c r="C5" s="43" t="inlineStr">
        <is>
          <t>880W internal</t>
        </is>
      </c>
      <c r="D5" s="43" t="inlineStr">
        <is>
          <t>None</t>
        </is>
      </c>
      <c r="E5" s="43" t="n">
        <v>0</v>
      </c>
      <c r="F5" s="43" t="inlineStr">
        <is>
          <t>110-240 VAC</t>
        </is>
      </c>
      <c r="G5" s="48" t="n">
        <v>648</v>
      </c>
      <c r="H5" s="48" t="n"/>
      <c r="I5" s="48" t="n"/>
      <c r="J5" s="52">
        <f>IF(COUNT(H5,I5)=0,"",MIN(H5,I5))</f>
        <v/>
      </c>
      <c r="K5" s="43" t="inlineStr">
        <is>
          <t>Base (no module)</t>
        </is>
      </c>
      <c r="L5" s="43" t="inlineStr">
        <is>
          <t>Base budget, no redundancy</t>
        </is>
      </c>
    </row>
    <row r="6" ht="15" customHeight="1" s="29">
      <c r="A6" s="43" t="inlineStr">
        <is>
          <t>GSM4328</t>
        </is>
      </c>
      <c r="B6" s="43" t="inlineStr">
        <is>
          <t>M4350-24G4XF</t>
        </is>
      </c>
      <c r="C6" s="43" t="inlineStr">
        <is>
          <t>880W internal</t>
        </is>
      </c>
      <c r="D6" s="43" t="inlineStr">
        <is>
          <t>APS350W</t>
        </is>
      </c>
      <c r="E6" s="43" t="n">
        <v>1</v>
      </c>
      <c r="F6" s="43" t="inlineStr">
        <is>
          <t>110-240 VAC</t>
        </is>
      </c>
      <c r="G6" s="48" t="n">
        <v>720</v>
      </c>
      <c r="H6" s="48" t="n">
        <v>218</v>
      </c>
      <c r="I6" s="48" t="n">
        <v>648</v>
      </c>
      <c r="J6" s="52">
        <f>IF(COUNT(H6,I6)=0,"",MIN(H6,I6))</f>
        <v/>
      </c>
      <c r="K6" s="43" t="inlineStr">
        <is>
          <t>1x APS350W</t>
        </is>
      </c>
      <c r="L6" s="43" t="n"/>
    </row>
    <row r="7" ht="15" customHeight="1" s="29">
      <c r="A7" s="43" t="inlineStr">
        <is>
          <t>GSM4328</t>
        </is>
      </c>
      <c r="B7" s="43" t="inlineStr">
        <is>
          <t>M4350-24G4XF</t>
        </is>
      </c>
      <c r="C7" s="43" t="inlineStr">
        <is>
          <t>880W internal</t>
        </is>
      </c>
      <c r="D7" s="43" t="inlineStr">
        <is>
          <t>APS600Wv2</t>
        </is>
      </c>
      <c r="E7" s="43" t="n">
        <v>1</v>
      </c>
      <c r="F7" s="43" t="inlineStr">
        <is>
          <t>110-240 VAC</t>
        </is>
      </c>
      <c r="G7" s="48" t="n">
        <v>720</v>
      </c>
      <c r="H7" s="48" t="n">
        <v>468</v>
      </c>
      <c r="I7" s="48" t="n">
        <v>648</v>
      </c>
      <c r="J7" s="52">
        <f>IF(COUNT(H7,I7)=0,"",MIN(H7,I7))</f>
        <v/>
      </c>
      <c r="K7" s="43" t="inlineStr">
        <is>
          <t>1x APS600Wv2</t>
        </is>
      </c>
      <c r="L7" s="43" t="n"/>
    </row>
    <row r="8" ht="15" customHeight="1" s="29">
      <c r="A8" s="43" t="inlineStr">
        <is>
          <t>GSM4328</t>
        </is>
      </c>
      <c r="B8" s="43" t="inlineStr">
        <is>
          <t>M4350-24G4XF</t>
        </is>
      </c>
      <c r="C8" s="43" t="inlineStr">
        <is>
          <t>880W internal</t>
        </is>
      </c>
      <c r="D8" s="43" t="inlineStr">
        <is>
          <t>APS920W</t>
        </is>
      </c>
      <c r="E8" s="43" t="n">
        <v>1</v>
      </c>
      <c r="F8" s="43" t="inlineStr">
        <is>
          <t>110-240 VAC</t>
        </is>
      </c>
      <c r="G8" s="48" t="n">
        <v>720</v>
      </c>
      <c r="H8" s="48" t="n">
        <v>720</v>
      </c>
      <c r="I8" s="48" t="n">
        <v>648</v>
      </c>
      <c r="J8" s="52">
        <f>IF(COUNT(H8,I8)=0,"",MIN(H8,I8))</f>
        <v/>
      </c>
      <c r="K8" s="43" t="inlineStr">
        <is>
          <t>1x APS920W</t>
        </is>
      </c>
      <c r="L8" s="43" t="n"/>
    </row>
    <row r="9" ht="15" customHeight="1" s="29">
      <c r="A9" s="43" t="inlineStr">
        <is>
          <t>GSM4328</t>
        </is>
      </c>
      <c r="B9" s="43" t="inlineStr">
        <is>
          <t>M4350-24G4XF</t>
        </is>
      </c>
      <c r="C9" s="43" t="inlineStr">
        <is>
          <t>880W internal</t>
        </is>
      </c>
      <c r="D9" s="43" t="inlineStr">
        <is>
          <t>APS2000W</t>
        </is>
      </c>
      <c r="E9" s="43" t="n">
        <v>1</v>
      </c>
      <c r="F9" s="43" t="inlineStr">
        <is>
          <t>110 VAC</t>
        </is>
      </c>
      <c r="G9" s="48" t="n">
        <v>720</v>
      </c>
      <c r="H9" s="48" t="n">
        <v>720</v>
      </c>
      <c r="I9" s="48" t="n">
        <v>648</v>
      </c>
      <c r="J9" s="52">
        <f>IF(COUNT(H9,I9)=0,"",MIN(H9,I9))</f>
        <v/>
      </c>
      <c r="K9" s="43" t="inlineStr">
        <is>
          <t>1x APS2000W @110V</t>
        </is>
      </c>
      <c r="L9" s="43" t="n"/>
    </row>
    <row r="10" ht="15" customHeight="1" s="29">
      <c r="A10" s="43" t="inlineStr">
        <is>
          <t>GSM4328</t>
        </is>
      </c>
      <c r="B10" s="43" t="inlineStr">
        <is>
          <t>M4350-24G4XF</t>
        </is>
      </c>
      <c r="C10" s="43" t="inlineStr">
        <is>
          <t>880W internal</t>
        </is>
      </c>
      <c r="D10" s="43" t="inlineStr">
        <is>
          <t>APS2000W</t>
        </is>
      </c>
      <c r="E10" s="43" t="n">
        <v>1</v>
      </c>
      <c r="F10" s="43" t="inlineStr">
        <is>
          <t>220 VAC</t>
        </is>
      </c>
      <c r="G10" s="48" t="n">
        <v>720</v>
      </c>
      <c r="H10" s="48" t="n">
        <v>720</v>
      </c>
      <c r="I10" s="48" t="n">
        <v>648</v>
      </c>
      <c r="J10" s="52">
        <f>IF(COUNT(H10,I10)=0,"",MIN(H10,I10))</f>
        <v/>
      </c>
      <c r="K10" s="43" t="inlineStr">
        <is>
          <t>1x APS2000W @220V</t>
        </is>
      </c>
      <c r="L10" s="43" t="n"/>
    </row>
    <row r="11" ht="15" customHeight="1" s="29">
      <c r="A11" s="43" t="inlineStr">
        <is>
          <t>GSM4352</t>
        </is>
      </c>
      <c r="B11" s="43" t="inlineStr">
        <is>
          <t>M4350-48G4XF</t>
        </is>
      </c>
      <c r="C11" s="43" t="inlineStr">
        <is>
          <t>550W internal</t>
        </is>
      </c>
      <c r="D11" s="43" t="inlineStr">
        <is>
          <t>None</t>
        </is>
      </c>
      <c r="E11" s="43" t="n">
        <v>0</v>
      </c>
      <c r="F11" s="43" t="inlineStr">
        <is>
          <t>110-240 VAC</t>
        </is>
      </c>
      <c r="G11" s="48" t="n">
        <v>236</v>
      </c>
      <c r="H11" s="48" t="n"/>
      <c r="I11" s="48" t="n"/>
      <c r="J11" s="52">
        <f>IF(COUNT(H11,I11)=0,"",MIN(H11,I11))</f>
        <v/>
      </c>
      <c r="K11" s="43" t="inlineStr">
        <is>
          <t>Base (no module)</t>
        </is>
      </c>
      <c r="L11" s="43" t="inlineStr">
        <is>
          <t>Base budget, no redundancy</t>
        </is>
      </c>
    </row>
    <row r="12" ht="15" customHeight="1" s="29">
      <c r="A12" s="43" t="inlineStr">
        <is>
          <t>GSM4352</t>
        </is>
      </c>
      <c r="B12" s="43" t="inlineStr">
        <is>
          <t>M4350-48G4XF</t>
        </is>
      </c>
      <c r="C12" s="43" t="inlineStr">
        <is>
          <t>550W internal</t>
        </is>
      </c>
      <c r="D12" s="43" t="inlineStr">
        <is>
          <t>APS350W</t>
        </is>
      </c>
      <c r="E12" s="43" t="n">
        <v>1</v>
      </c>
      <c r="F12" s="43" t="inlineStr">
        <is>
          <t>110-240 VAC</t>
        </is>
      </c>
      <c r="G12" s="48" t="n">
        <v>436</v>
      </c>
      <c r="H12" s="48" t="n">
        <v>186</v>
      </c>
      <c r="I12" s="48" t="n">
        <v>236</v>
      </c>
      <c r="J12" s="52">
        <f>IF(COUNT(H12,I12)=0,"",MIN(H12,I12))</f>
        <v/>
      </c>
      <c r="K12" s="43" t="inlineStr">
        <is>
          <t>1x APS350W</t>
        </is>
      </c>
      <c r="L12" s="43" t="n"/>
    </row>
    <row r="13" ht="15" customHeight="1" s="29">
      <c r="A13" s="43" t="inlineStr">
        <is>
          <t>GSM4352</t>
        </is>
      </c>
      <c r="B13" s="43" t="inlineStr">
        <is>
          <t>M4350-48G4XF</t>
        </is>
      </c>
      <c r="C13" s="43" t="inlineStr">
        <is>
          <t>550W internal</t>
        </is>
      </c>
      <c r="D13" s="43" t="inlineStr">
        <is>
          <t>APS600Wv2</t>
        </is>
      </c>
      <c r="E13" s="43" t="n">
        <v>1</v>
      </c>
      <c r="F13" s="43" t="inlineStr">
        <is>
          <t>110-240 VAC</t>
        </is>
      </c>
      <c r="G13" s="48" t="n">
        <v>636</v>
      </c>
      <c r="H13" s="48" t="n">
        <v>436</v>
      </c>
      <c r="I13" s="48" t="n">
        <v>236</v>
      </c>
      <c r="J13" s="52">
        <f>IF(COUNT(H13,I13)=0,"",MIN(H13,I13))</f>
        <v/>
      </c>
      <c r="K13" s="43" t="inlineStr">
        <is>
          <t>1x APS600Wv2</t>
        </is>
      </c>
      <c r="L13" s="43" t="n"/>
    </row>
    <row r="14" ht="15" customHeight="1" s="29">
      <c r="A14" s="43" t="inlineStr">
        <is>
          <t>GSM4352</t>
        </is>
      </c>
      <c r="B14" s="43" t="inlineStr">
        <is>
          <t>M4350-48G4XF</t>
        </is>
      </c>
      <c r="C14" s="43" t="inlineStr">
        <is>
          <t>550W internal</t>
        </is>
      </c>
      <c r="D14" s="43" t="inlineStr">
        <is>
          <t>APS920W</t>
        </is>
      </c>
      <c r="E14" s="43" t="n">
        <v>1</v>
      </c>
      <c r="F14" s="43" t="inlineStr">
        <is>
          <t>110-240 VAC</t>
        </is>
      </c>
      <c r="G14" s="48" t="n">
        <v>892</v>
      </c>
      <c r="H14" s="48" t="n">
        <v>756</v>
      </c>
      <c r="I14" s="48" t="n">
        <v>236</v>
      </c>
      <c r="J14" s="52">
        <f>IF(COUNT(H14,I14)=0,"",MIN(H14,I14))</f>
        <v/>
      </c>
      <c r="K14" s="43" t="inlineStr">
        <is>
          <t>1x APS920W</t>
        </is>
      </c>
      <c r="L14" s="43" t="n"/>
    </row>
    <row r="15" ht="15" customHeight="1" s="29">
      <c r="A15" s="43" t="inlineStr">
        <is>
          <t>GSM4352</t>
        </is>
      </c>
      <c r="B15" s="43" t="inlineStr">
        <is>
          <t>M4350-48G4XF</t>
        </is>
      </c>
      <c r="C15" s="43" t="inlineStr">
        <is>
          <t>550W internal</t>
        </is>
      </c>
      <c r="D15" s="43" t="inlineStr">
        <is>
          <t>APS2000W</t>
        </is>
      </c>
      <c r="E15" s="43" t="n">
        <v>1</v>
      </c>
      <c r="F15" s="43" t="inlineStr">
        <is>
          <t>110 VAC</t>
        </is>
      </c>
      <c r="G15" s="48" t="n">
        <v>956</v>
      </c>
      <c r="H15" s="48" t="n">
        <v>836</v>
      </c>
      <c r="I15" s="48" t="n">
        <v>236</v>
      </c>
      <c r="J15" s="52">
        <f>IF(COUNT(H15,I15)=0,"",MIN(H15,I15))</f>
        <v/>
      </c>
      <c r="K15" s="43" t="inlineStr">
        <is>
          <t>1x APS2000W @110V</t>
        </is>
      </c>
      <c r="L15" s="43" t="n"/>
    </row>
    <row r="16" ht="15" customHeight="1" s="29">
      <c r="A16" s="43" t="inlineStr">
        <is>
          <t>GSM4352</t>
        </is>
      </c>
      <c r="B16" s="43" t="inlineStr">
        <is>
          <t>M4350-48G4XF</t>
        </is>
      </c>
      <c r="C16" s="43" t="inlineStr">
        <is>
          <t>550W internal</t>
        </is>
      </c>
      <c r="D16" s="43" t="inlineStr">
        <is>
          <t>APS2000W</t>
        </is>
      </c>
      <c r="E16" s="43" t="n">
        <v>1</v>
      </c>
      <c r="F16" s="43" t="inlineStr">
        <is>
          <t>220 VAC</t>
        </is>
      </c>
      <c r="G16" s="48" t="n">
        <v>1440</v>
      </c>
      <c r="H16" s="48" t="n">
        <v>1440</v>
      </c>
      <c r="I16" s="48" t="n">
        <v>236</v>
      </c>
      <c r="J16" s="52">
        <f>IF(COUNT(H16,I16)=0,"",MIN(H16,I16))</f>
        <v/>
      </c>
      <c r="K16" s="43" t="inlineStr">
        <is>
          <t>1x APS2000W @220V</t>
        </is>
      </c>
      <c r="L16" s="43" t="n"/>
    </row>
    <row r="17" ht="15" customHeight="1" s="29">
      <c r="A17" s="43" t="inlineStr">
        <is>
          <t>GSM4352</t>
        </is>
      </c>
      <c r="B17" s="43" t="inlineStr">
        <is>
          <t>M4350-48G4XF</t>
        </is>
      </c>
      <c r="C17" s="43" t="inlineStr">
        <is>
          <t>550W internal</t>
        </is>
      </c>
      <c r="D17" s="43" t="inlineStr">
        <is>
          <t>APS350W</t>
        </is>
      </c>
      <c r="E17" s="43" t="n">
        <v>2</v>
      </c>
      <c r="F17" s="43" t="inlineStr">
        <is>
          <t>110-240 VAC</t>
        </is>
      </c>
      <c r="G17" s="48" t="n">
        <v>716</v>
      </c>
      <c r="H17" s="48" t="n">
        <v>396</v>
      </c>
      <c r="I17" s="48" t="n">
        <v>436</v>
      </c>
      <c r="J17" s="52">
        <f>IF(COUNT(H17,I17)=0,"",MIN(H17,I17))</f>
        <v/>
      </c>
      <c r="K17" s="43" t="inlineStr">
        <is>
          <t>2x APS350W</t>
        </is>
      </c>
      <c r="L17" s="43" t="n"/>
    </row>
    <row r="18" ht="15" customHeight="1" s="29">
      <c r="A18" s="43" t="inlineStr">
        <is>
          <t>GSM4352</t>
        </is>
      </c>
      <c r="B18" s="43" t="inlineStr">
        <is>
          <t>M4350-48G4XF</t>
        </is>
      </c>
      <c r="C18" s="43" t="inlineStr">
        <is>
          <t>550W internal</t>
        </is>
      </c>
      <c r="D18" s="43" t="inlineStr">
        <is>
          <t>APS600Wv2</t>
        </is>
      </c>
      <c r="E18" s="43" t="n">
        <v>2</v>
      </c>
      <c r="F18" s="43" t="inlineStr">
        <is>
          <t>110-240 VAC</t>
        </is>
      </c>
      <c r="G18" s="48" t="n">
        <v>1116</v>
      </c>
      <c r="H18" s="48" t="n">
        <v>796</v>
      </c>
      <c r="I18" s="48" t="n">
        <v>636</v>
      </c>
      <c r="J18" s="52">
        <f>IF(COUNT(H18,I18)=0,"",MIN(H18,I18))</f>
        <v/>
      </c>
      <c r="K18" s="43" t="inlineStr">
        <is>
          <t>2x APS600Wv2</t>
        </is>
      </c>
      <c r="L18" s="43" t="n"/>
    </row>
    <row r="19" ht="15" customHeight="1" s="29">
      <c r="A19" s="43" t="inlineStr">
        <is>
          <t>GSM4352</t>
        </is>
      </c>
      <c r="B19" s="43" t="inlineStr">
        <is>
          <t>M4350-48G4XF</t>
        </is>
      </c>
      <c r="C19" s="43" t="inlineStr">
        <is>
          <t>550W internal</t>
        </is>
      </c>
      <c r="D19" s="43" t="inlineStr">
        <is>
          <t>APS920W</t>
        </is>
      </c>
      <c r="E19" s="43" t="n">
        <v>2</v>
      </c>
      <c r="F19" s="43" t="inlineStr">
        <is>
          <t>110-240 VAC</t>
        </is>
      </c>
      <c r="G19" s="48" t="n">
        <v>1440</v>
      </c>
      <c r="H19" s="48" t="n">
        <v>1308</v>
      </c>
      <c r="I19" s="48" t="n">
        <v>892</v>
      </c>
      <c r="J19" s="52">
        <f>IF(COUNT(H19,I19)=0,"",MIN(H19,I19))</f>
        <v/>
      </c>
      <c r="K19" s="43" t="inlineStr">
        <is>
          <t>2x APS920W</t>
        </is>
      </c>
      <c r="L19" s="43" t="n"/>
    </row>
    <row r="20" ht="15" customHeight="1" s="29">
      <c r="A20" s="43" t="inlineStr">
        <is>
          <t>GSM4352</t>
        </is>
      </c>
      <c r="B20" s="43" t="inlineStr">
        <is>
          <t>M4350-48G4XF</t>
        </is>
      </c>
      <c r="C20" s="43" t="inlineStr">
        <is>
          <t>550W internal</t>
        </is>
      </c>
      <c r="D20" s="43" t="inlineStr">
        <is>
          <t>APS2000W</t>
        </is>
      </c>
      <c r="E20" s="43" t="n">
        <v>2</v>
      </c>
      <c r="F20" s="43" t="inlineStr">
        <is>
          <t>110 VAC</t>
        </is>
      </c>
      <c r="G20" s="48" t="n">
        <v>1440</v>
      </c>
      <c r="H20" s="48" t="n">
        <v>1436</v>
      </c>
      <c r="I20" s="48" t="n">
        <v>956</v>
      </c>
      <c r="J20" s="52">
        <f>IF(COUNT(H20,I20)=0,"",MIN(H20,I20))</f>
        <v/>
      </c>
      <c r="K20" s="43" t="inlineStr">
        <is>
          <t>2x APS2000W @110V</t>
        </is>
      </c>
      <c r="L20" s="43" t="n"/>
    </row>
    <row r="21" ht="15" customHeight="1" s="29">
      <c r="A21" s="43" t="inlineStr">
        <is>
          <t>GSM4352</t>
        </is>
      </c>
      <c r="B21" s="43" t="inlineStr">
        <is>
          <t>M4350-48G4XF</t>
        </is>
      </c>
      <c r="C21" s="43" t="inlineStr">
        <is>
          <t>550W internal</t>
        </is>
      </c>
      <c r="D21" s="43" t="inlineStr">
        <is>
          <t>APS2000W</t>
        </is>
      </c>
      <c r="E21" s="43" t="n">
        <v>2</v>
      </c>
      <c r="F21" s="43" t="inlineStr">
        <is>
          <t>220 VAC</t>
        </is>
      </c>
      <c r="G21" s="48" t="n">
        <v>1440</v>
      </c>
      <c r="H21" s="48" t="n">
        <v>1440</v>
      </c>
      <c r="I21" s="48" t="n">
        <v>1440</v>
      </c>
      <c r="J21" s="52">
        <f>IF(COUNT(H21,I21)=0,"",MIN(H21,I21))</f>
        <v/>
      </c>
      <c r="K21" s="43" t="inlineStr">
        <is>
          <t>2x APS2000W @220V</t>
        </is>
      </c>
      <c r="L21" s="43" t="n"/>
    </row>
    <row r="22" ht="15" customHeight="1" s="29">
      <c r="A22" s="43" t="inlineStr">
        <is>
          <t>MSM4310</t>
        </is>
      </c>
      <c r="B22" s="43" t="inlineStr">
        <is>
          <t>M4350-8M2V</t>
        </is>
      </c>
      <c r="C22" s="43" t="inlineStr">
        <is>
          <t>APS254W (included)</t>
        </is>
      </c>
      <c r="D22" s="43" t="inlineStr">
        <is>
          <t>None</t>
        </is>
      </c>
      <c r="E22" s="43" t="n">
        <v>0</v>
      </c>
      <c r="F22" s="43" t="inlineStr">
        <is>
          <t>110-240 VAC</t>
        </is>
      </c>
      <c r="G22" s="48" t="n">
        <v>119</v>
      </c>
      <c r="H22" s="48" t="n"/>
      <c r="I22" s="48" t="n"/>
      <c r="J22" s="52">
        <f>IF(COUNT(H22,I22)=0,"",MIN(H22,I22))</f>
        <v/>
      </c>
      <c r="K22" s="43" t="inlineStr">
        <is>
          <t>Base (no module)</t>
        </is>
      </c>
      <c r="L22" s="43" t="inlineStr">
        <is>
          <t>Base budget, no redundancy</t>
        </is>
      </c>
    </row>
    <row r="23" ht="15" customHeight="1" s="29">
      <c r="A23" s="43" t="inlineStr">
        <is>
          <t>MSM4310</t>
        </is>
      </c>
      <c r="B23" s="43" t="inlineStr">
        <is>
          <t>M4350-8M2V</t>
        </is>
      </c>
      <c r="C23" s="43" t="inlineStr">
        <is>
          <t>APS254W (included)</t>
        </is>
      </c>
      <c r="D23" s="43" t="inlineStr">
        <is>
          <t>APS254W</t>
        </is>
      </c>
      <c r="E23" s="43" t="n">
        <v>1</v>
      </c>
      <c r="F23" s="43" t="inlineStr">
        <is>
          <t>110-240 VAC</t>
        </is>
      </c>
      <c r="G23" s="48" t="n">
        <v>322</v>
      </c>
      <c r="H23" s="48" t="n">
        <v>119</v>
      </c>
      <c r="I23" s="48" t="n">
        <v>119</v>
      </c>
      <c r="J23" s="52">
        <f>IF(COUNT(H23,I23)=0,"",MIN(H23,I23))</f>
        <v/>
      </c>
      <c r="K23" s="43" t="inlineStr">
        <is>
          <t>1x APS254W</t>
        </is>
      </c>
      <c r="L23" s="43" t="n"/>
    </row>
    <row r="24" ht="15" customHeight="1" s="29">
      <c r="A24" s="43" t="inlineStr">
        <is>
          <t>MSM4310</t>
        </is>
      </c>
      <c r="B24" s="43" t="inlineStr">
        <is>
          <t>M4350-8M2V</t>
        </is>
      </c>
      <c r="C24" s="43" t="inlineStr">
        <is>
          <t>APS254W (included)</t>
        </is>
      </c>
      <c r="D24" s="43" t="inlineStr">
        <is>
          <t>APS254W</t>
        </is>
      </c>
      <c r="E24" s="43" t="n">
        <v>2</v>
      </c>
      <c r="F24" s="43" t="inlineStr">
        <is>
          <t>110-240 VAC</t>
        </is>
      </c>
      <c r="G24" s="48" t="n">
        <v>551</v>
      </c>
      <c r="H24" s="48" t="n">
        <v>322</v>
      </c>
      <c r="I24" s="48" t="n">
        <v>322</v>
      </c>
      <c r="J24" s="52">
        <f>IF(COUNT(H24,I24)=0,"",MIN(H24,I24))</f>
        <v/>
      </c>
      <c r="K24" s="43" t="inlineStr">
        <is>
          <t>2x APS254W</t>
        </is>
      </c>
      <c r="L24" s="43" t="n"/>
    </row>
    <row r="25" ht="15" customHeight="1" s="29">
      <c r="A25" s="43" t="inlineStr">
        <is>
          <t>MSM4332</t>
        </is>
      </c>
      <c r="B25" s="43" t="inlineStr">
        <is>
          <t>M4350-24M4X4V</t>
        </is>
      </c>
      <c r="C25" s="43" t="inlineStr">
        <is>
          <t>800W internal</t>
        </is>
      </c>
      <c r="D25" s="43" t="inlineStr">
        <is>
          <t>None</t>
        </is>
      </c>
      <c r="E25" s="43" t="n">
        <v>0</v>
      </c>
      <c r="F25" s="43" t="inlineStr">
        <is>
          <t>110-240 VAC</t>
        </is>
      </c>
      <c r="G25" s="48" t="n">
        <v>522</v>
      </c>
      <c r="H25" s="48" t="n"/>
      <c r="I25" s="48" t="n"/>
      <c r="J25" s="52">
        <f>IF(COUNT(H25,I25)=0,"",MIN(H25,I25))</f>
        <v/>
      </c>
      <c r="K25" s="43" t="inlineStr">
        <is>
          <t>Base (no module)</t>
        </is>
      </c>
      <c r="L25" s="43" t="inlineStr">
        <is>
          <t>Base budget, no redundancy</t>
        </is>
      </c>
    </row>
    <row r="26" ht="15" customHeight="1" s="29">
      <c r="A26" s="43" t="inlineStr">
        <is>
          <t>MSM4332</t>
        </is>
      </c>
      <c r="B26" s="43" t="inlineStr">
        <is>
          <t>M4350-24M4X4V</t>
        </is>
      </c>
      <c r="C26" s="43" t="inlineStr">
        <is>
          <t>800W internal</t>
        </is>
      </c>
      <c r="D26" s="43" t="inlineStr">
        <is>
          <t>APS600Wv3</t>
        </is>
      </c>
      <c r="E26" s="43" t="n">
        <v>1</v>
      </c>
      <c r="F26" s="43" t="inlineStr">
        <is>
          <t>110-240 VAC</t>
        </is>
      </c>
      <c r="G26" s="48" t="n">
        <v>852</v>
      </c>
      <c r="H26" s="48" t="n">
        <v>372</v>
      </c>
      <c r="I26" s="48" t="n">
        <v>522</v>
      </c>
      <c r="J26" s="52">
        <f>IF(COUNT(H26,I26)=0,"",MIN(H26,I26))</f>
        <v/>
      </c>
      <c r="K26" s="43" t="inlineStr">
        <is>
          <t>1x APS600Wv3</t>
        </is>
      </c>
      <c r="L26" s="43" t="n"/>
    </row>
    <row r="27" ht="15" customHeight="1" s="29">
      <c r="A27" s="43" t="inlineStr">
        <is>
          <t>MSM4332</t>
        </is>
      </c>
      <c r="B27" s="43" t="inlineStr">
        <is>
          <t>M4350-24M4X4V</t>
        </is>
      </c>
      <c r="C27" s="43" t="inlineStr">
        <is>
          <t>800W internal</t>
        </is>
      </c>
      <c r="D27" s="43" t="inlineStr">
        <is>
          <t>APS1200Wv2</t>
        </is>
      </c>
      <c r="E27" s="43" t="n">
        <v>1</v>
      </c>
      <c r="F27" s="43" t="inlineStr">
        <is>
          <t>110 VAC</t>
        </is>
      </c>
      <c r="G27" s="48" t="n">
        <v>1172</v>
      </c>
      <c r="H27" s="48" t="n">
        <v>772</v>
      </c>
      <c r="I27" s="48" t="n">
        <v>522</v>
      </c>
      <c r="J27" s="52">
        <f>IF(COUNT(H27,I27)=0,"",MIN(H27,I27))</f>
        <v/>
      </c>
      <c r="K27" s="43" t="inlineStr">
        <is>
          <t>1x APS1200Wv2 @110V</t>
        </is>
      </c>
      <c r="L27" s="43" t="n"/>
    </row>
    <row r="28" ht="15" customHeight="1" s="29">
      <c r="A28" s="43" t="inlineStr">
        <is>
          <t>MSM4332</t>
        </is>
      </c>
      <c r="B28" s="43" t="inlineStr">
        <is>
          <t>M4350-24M4X4V</t>
        </is>
      </c>
      <c r="C28" s="43" t="inlineStr">
        <is>
          <t>800W internal</t>
        </is>
      </c>
      <c r="D28" s="43" t="inlineStr">
        <is>
          <t>APS1200Wv2</t>
        </is>
      </c>
      <c r="E28" s="43" t="n">
        <v>1</v>
      </c>
      <c r="F28" s="43" t="inlineStr">
        <is>
          <t>220 VAC</t>
        </is>
      </c>
      <c r="G28" s="48" t="n">
        <v>1332</v>
      </c>
      <c r="H28" s="48" t="n">
        <v>972</v>
      </c>
      <c r="I28" s="48" t="n">
        <v>522</v>
      </c>
      <c r="J28" s="52">
        <f>IF(COUNT(H28,I28)=0,"",MIN(H28,I28))</f>
        <v/>
      </c>
      <c r="K28" s="43" t="inlineStr">
        <is>
          <t>1x APS1200Wv2 @220V</t>
        </is>
      </c>
      <c r="L28" s="43" t="n"/>
    </row>
    <row r="29" ht="15" customHeight="1" s="29">
      <c r="A29" s="43" t="inlineStr">
        <is>
          <t>MSM4332</t>
        </is>
      </c>
      <c r="B29" s="43" t="inlineStr">
        <is>
          <t>M4350-24M4X4V</t>
        </is>
      </c>
      <c r="C29" s="43" t="inlineStr">
        <is>
          <t>800W internal</t>
        </is>
      </c>
      <c r="D29" s="43" t="inlineStr">
        <is>
          <t>APS2000Wv2</t>
        </is>
      </c>
      <c r="E29" s="43" t="n">
        <v>1</v>
      </c>
      <c r="F29" s="43" t="inlineStr">
        <is>
          <t>110 VAC</t>
        </is>
      </c>
      <c r="G29" s="48" t="n">
        <v>1172</v>
      </c>
      <c r="H29" s="48" t="n">
        <v>772</v>
      </c>
      <c r="I29" s="48" t="n">
        <v>522</v>
      </c>
      <c r="J29" s="52">
        <f>IF(COUNT(H29,I29)=0,"",MIN(H29,I29))</f>
        <v/>
      </c>
      <c r="K29" s="43" t="inlineStr">
        <is>
          <t>1x APS2000Wv2 @110V</t>
        </is>
      </c>
      <c r="L29" s="43" t="n"/>
    </row>
    <row r="30" ht="15" customHeight="1" s="29">
      <c r="A30" s="43" t="inlineStr">
        <is>
          <t>MSM4332</t>
        </is>
      </c>
      <c r="B30" s="43" t="inlineStr">
        <is>
          <t>M4350-24M4X4V</t>
        </is>
      </c>
      <c r="C30" s="43" t="inlineStr">
        <is>
          <t>800W internal</t>
        </is>
      </c>
      <c r="D30" s="43" t="inlineStr">
        <is>
          <t>APS2000Wv2</t>
        </is>
      </c>
      <c r="E30" s="43" t="n">
        <v>1</v>
      </c>
      <c r="F30" s="43" t="inlineStr">
        <is>
          <t>220 VAC</t>
        </is>
      </c>
      <c r="G30" s="48" t="n">
        <v>1972</v>
      </c>
      <c r="H30" s="48" t="n">
        <v>1772</v>
      </c>
      <c r="I30" s="48" t="n">
        <v>522</v>
      </c>
      <c r="J30" s="52">
        <f>IF(COUNT(H30,I30)=0,"",MIN(H30,I30))</f>
        <v/>
      </c>
      <c r="K30" s="43" t="inlineStr">
        <is>
          <t>1x APS2000Wv2 @220V</t>
        </is>
      </c>
      <c r="L30" s="43" t="n"/>
    </row>
    <row r="31" ht="15" customHeight="1" s="29">
      <c r="A31" s="43" t="inlineStr">
        <is>
          <t>MSM4332</t>
        </is>
      </c>
      <c r="B31" s="43" t="inlineStr">
        <is>
          <t>M4350-24M4X4V</t>
        </is>
      </c>
      <c r="C31" s="43" t="inlineStr">
        <is>
          <t>800W internal</t>
        </is>
      </c>
      <c r="D31" s="43" t="inlineStr">
        <is>
          <t>APS600Wv3</t>
        </is>
      </c>
      <c r="E31" s="43" t="n">
        <v>2</v>
      </c>
      <c r="F31" s="43" t="inlineStr">
        <is>
          <t>110-240 VAC</t>
        </is>
      </c>
      <c r="G31" s="48" t="n">
        <v>1332</v>
      </c>
      <c r="H31" s="48" t="n">
        <v>732</v>
      </c>
      <c r="I31" s="48" t="n">
        <v>852</v>
      </c>
      <c r="J31" s="52">
        <f>IF(COUNT(H31,I31)=0,"",MIN(H31,I31))</f>
        <v/>
      </c>
      <c r="K31" s="43" t="inlineStr">
        <is>
          <t>2x APS600Wv3</t>
        </is>
      </c>
      <c r="L31" s="43" t="n"/>
    </row>
    <row r="32" ht="15" customHeight="1" s="29">
      <c r="A32" s="43" t="inlineStr">
        <is>
          <t>MSM4332</t>
        </is>
      </c>
      <c r="B32" s="43" t="inlineStr">
        <is>
          <t>M4350-24M4X4V</t>
        </is>
      </c>
      <c r="C32" s="43" t="inlineStr">
        <is>
          <t>800W internal</t>
        </is>
      </c>
      <c r="D32" s="43" t="inlineStr">
        <is>
          <t>APS1200Wv2</t>
        </is>
      </c>
      <c r="E32" s="43" t="n">
        <v>2</v>
      </c>
      <c r="F32" s="43" t="inlineStr">
        <is>
          <t>110 VAC</t>
        </is>
      </c>
      <c r="G32" s="48" t="n">
        <v>1972</v>
      </c>
      <c r="H32" s="48" t="n">
        <v>1372</v>
      </c>
      <c r="I32" s="48" t="n">
        <v>1172</v>
      </c>
      <c r="J32" s="52">
        <f>IF(COUNT(H32,I32)=0,"",MIN(H32,I32))</f>
        <v/>
      </c>
      <c r="K32" s="43" t="inlineStr">
        <is>
          <t>2x APS1200Wv2 @110V</t>
        </is>
      </c>
      <c r="L32" s="43" t="n"/>
    </row>
    <row r="33" ht="15" customHeight="1" s="29">
      <c r="A33" s="43" t="inlineStr">
        <is>
          <t>MSM4332</t>
        </is>
      </c>
      <c r="B33" s="43" t="inlineStr">
        <is>
          <t>M4350-24M4X4V</t>
        </is>
      </c>
      <c r="C33" s="43" t="inlineStr">
        <is>
          <t>800W internal</t>
        </is>
      </c>
      <c r="D33" s="43" t="inlineStr">
        <is>
          <t>APS1200Wv2</t>
        </is>
      </c>
      <c r="E33" s="43" t="n">
        <v>2</v>
      </c>
      <c r="F33" s="43" t="inlineStr">
        <is>
          <t>220 VAC</t>
        </is>
      </c>
      <c r="G33" s="48" t="n">
        <v>2292</v>
      </c>
      <c r="H33" s="48" t="n">
        <v>1692</v>
      </c>
      <c r="I33" s="48" t="n">
        <v>1332</v>
      </c>
      <c r="J33" s="52">
        <f>IF(COUNT(H33,I33)=0,"",MIN(H33,I33))</f>
        <v/>
      </c>
      <c r="K33" s="43" t="inlineStr">
        <is>
          <t>2x APS1200Wv2 @220V</t>
        </is>
      </c>
      <c r="L33" s="43" t="n"/>
    </row>
    <row r="34" ht="15" customHeight="1" s="29">
      <c r="A34" s="43" t="inlineStr">
        <is>
          <t>MSM4332</t>
        </is>
      </c>
      <c r="B34" s="43" t="inlineStr">
        <is>
          <t>M4350-24M4X4V</t>
        </is>
      </c>
      <c r="C34" s="43" t="inlineStr">
        <is>
          <t>800W internal</t>
        </is>
      </c>
      <c r="D34" s="43" t="inlineStr">
        <is>
          <t>APS2000Wv2</t>
        </is>
      </c>
      <c r="E34" s="43" t="n">
        <v>2</v>
      </c>
      <c r="F34" s="43" t="inlineStr">
        <is>
          <t>110 VAC</t>
        </is>
      </c>
      <c r="G34" s="48" t="n">
        <v>1972</v>
      </c>
      <c r="H34" s="48" t="n">
        <v>1372</v>
      </c>
      <c r="I34" s="48" t="n">
        <v>1172</v>
      </c>
      <c r="J34" s="52">
        <f>IF(COUNT(H34,I34)=0,"",MIN(H34,I34))</f>
        <v/>
      </c>
      <c r="K34" s="43" t="inlineStr">
        <is>
          <t>2x APS2000Wv2 @110V</t>
        </is>
      </c>
      <c r="L34" s="43" t="n"/>
    </row>
    <row r="35" ht="15" customHeight="1" s="29">
      <c r="A35" s="43" t="inlineStr">
        <is>
          <t>MSM4332</t>
        </is>
      </c>
      <c r="B35" s="43" t="inlineStr">
        <is>
          <t>M4350-24M4X4V</t>
        </is>
      </c>
      <c r="C35" s="43" t="inlineStr">
        <is>
          <t>800W internal</t>
        </is>
      </c>
      <c r="D35" s="43" t="inlineStr">
        <is>
          <t>APS2000Wv2</t>
        </is>
      </c>
      <c r="E35" s="43" t="n">
        <v>2</v>
      </c>
      <c r="F35" s="43" t="inlineStr">
        <is>
          <t>220 VAC</t>
        </is>
      </c>
      <c r="G35" s="48" t="n">
        <v>2520</v>
      </c>
      <c r="H35" s="48" t="n">
        <v>2520</v>
      </c>
      <c r="I35" s="48" t="n">
        <v>1972</v>
      </c>
      <c r="J35" s="52">
        <f>IF(COUNT(H35,I35)=0,"",MIN(H35,I35))</f>
        <v/>
      </c>
      <c r="K35" s="43" t="inlineStr">
        <is>
          <t>2x APS2000Wv2 @220V</t>
        </is>
      </c>
      <c r="L35" s="43" t="n"/>
    </row>
    <row r="36" ht="15" customHeight="1" s="29">
      <c r="A36" s="43" t="inlineStr">
        <is>
          <t>MSM4352</t>
        </is>
      </c>
      <c r="B36" s="43" t="inlineStr">
        <is>
          <t>M4350-44M4X4V</t>
        </is>
      </c>
      <c r="C36" s="43" t="inlineStr">
        <is>
          <t>550W internal</t>
        </is>
      </c>
      <c r="D36" s="43" t="inlineStr">
        <is>
          <t>None</t>
        </is>
      </c>
      <c r="E36" s="43" t="n">
        <v>0</v>
      </c>
      <c r="F36" s="43" t="inlineStr">
        <is>
          <t>110-240 VAC</t>
        </is>
      </c>
      <c r="G36" s="48" t="n">
        <v>194</v>
      </c>
      <c r="H36" s="48" t="n"/>
      <c r="I36" s="48" t="n"/>
      <c r="J36" s="52">
        <f>IF(COUNT(H36,I36)=0,"",MIN(H36,I36))</f>
        <v/>
      </c>
      <c r="K36" s="43" t="inlineStr">
        <is>
          <t>Base (no module)</t>
        </is>
      </c>
      <c r="L36" s="43" t="inlineStr">
        <is>
          <t>Base budget, no redundancy</t>
        </is>
      </c>
    </row>
    <row r="37" ht="15" customHeight="1" s="29">
      <c r="A37" s="43" t="inlineStr">
        <is>
          <t>MSM4352</t>
        </is>
      </c>
      <c r="B37" s="43" t="inlineStr">
        <is>
          <t>M4350-44M4X4V</t>
        </is>
      </c>
      <c r="C37" s="43" t="inlineStr">
        <is>
          <t>550W internal</t>
        </is>
      </c>
      <c r="D37" s="43" t="inlineStr">
        <is>
          <t>APS350W</t>
        </is>
      </c>
      <c r="E37" s="43" t="n">
        <v>1</v>
      </c>
      <c r="F37" s="43" t="inlineStr">
        <is>
          <t>110-240 VAC</t>
        </is>
      </c>
      <c r="G37" s="48" t="n">
        <v>394</v>
      </c>
      <c r="H37" s="48" t="n">
        <v>144</v>
      </c>
      <c r="I37" s="48" t="n">
        <v>194</v>
      </c>
      <c r="J37" s="52">
        <f>IF(COUNT(H37,I37)=0,"",MIN(H37,I37))</f>
        <v/>
      </c>
      <c r="K37" s="43" t="inlineStr">
        <is>
          <t>1x APS350W</t>
        </is>
      </c>
      <c r="L37" s="43" t="n"/>
    </row>
    <row r="38" ht="15" customHeight="1" s="29">
      <c r="A38" s="43" t="inlineStr">
        <is>
          <t>MSM4352</t>
        </is>
      </c>
      <c r="B38" s="43" t="inlineStr">
        <is>
          <t>M4350-44M4X4V</t>
        </is>
      </c>
      <c r="C38" s="43" t="inlineStr">
        <is>
          <t>550W internal</t>
        </is>
      </c>
      <c r="D38" s="43" t="inlineStr">
        <is>
          <t>APS600Wv2</t>
        </is>
      </c>
      <c r="E38" s="43" t="n">
        <v>1</v>
      </c>
      <c r="F38" s="43" t="inlineStr">
        <is>
          <t>110-240 VAC</t>
        </is>
      </c>
      <c r="G38" s="48" t="n">
        <v>594</v>
      </c>
      <c r="H38" s="48" t="n">
        <v>394</v>
      </c>
      <c r="I38" s="48" t="n">
        <v>194</v>
      </c>
      <c r="J38" s="52">
        <f>IF(COUNT(H38,I38)=0,"",MIN(H38,I38))</f>
        <v/>
      </c>
      <c r="K38" s="43" t="inlineStr">
        <is>
          <t>1x APS600Wv2</t>
        </is>
      </c>
      <c r="L38" s="43" t="n"/>
    </row>
    <row r="39" ht="15" customHeight="1" s="29">
      <c r="A39" s="43" t="inlineStr">
        <is>
          <t>MSM4352</t>
        </is>
      </c>
      <c r="B39" s="43" t="inlineStr">
        <is>
          <t>M4350-44M4X4V</t>
        </is>
      </c>
      <c r="C39" s="43" t="inlineStr">
        <is>
          <t>550W internal</t>
        </is>
      </c>
      <c r="D39" s="43" t="inlineStr">
        <is>
          <t>APS920W</t>
        </is>
      </c>
      <c r="E39" s="43" t="n">
        <v>1</v>
      </c>
      <c r="F39" s="43" t="inlineStr">
        <is>
          <t>110-240 VAC</t>
        </is>
      </c>
      <c r="G39" s="48" t="n">
        <v>850</v>
      </c>
      <c r="H39" s="48" t="n">
        <v>714</v>
      </c>
      <c r="I39" s="48" t="n">
        <v>194</v>
      </c>
      <c r="J39" s="52">
        <f>IF(COUNT(H39,I39)=0,"",MIN(H39,I39))</f>
        <v/>
      </c>
      <c r="K39" s="43" t="inlineStr">
        <is>
          <t>1x APS920W</t>
        </is>
      </c>
      <c r="L39" s="43" t="n"/>
    </row>
    <row r="40" ht="15" customHeight="1" s="29">
      <c r="A40" s="43" t="inlineStr">
        <is>
          <t>MSM4352</t>
        </is>
      </c>
      <c r="B40" s="43" t="inlineStr">
        <is>
          <t>M4350-44M4X4V</t>
        </is>
      </c>
      <c r="C40" s="43" t="inlineStr">
        <is>
          <t>550W internal</t>
        </is>
      </c>
      <c r="D40" s="43" t="inlineStr">
        <is>
          <t>APS2000W</t>
        </is>
      </c>
      <c r="E40" s="43" t="n">
        <v>1</v>
      </c>
      <c r="F40" s="43" t="inlineStr">
        <is>
          <t>110 VAC</t>
        </is>
      </c>
      <c r="G40" s="48" t="n">
        <v>914</v>
      </c>
      <c r="H40" s="48" t="n">
        <v>794</v>
      </c>
      <c r="I40" s="48" t="n">
        <v>194</v>
      </c>
      <c r="J40" s="52">
        <f>IF(COUNT(H40,I40)=0,"",MIN(H40,I40))</f>
        <v/>
      </c>
      <c r="K40" s="43" t="inlineStr">
        <is>
          <t>1x APS2000W @110V</t>
        </is>
      </c>
      <c r="L40" s="43" t="n"/>
    </row>
    <row r="41" ht="15" customHeight="1" s="29">
      <c r="A41" s="43" t="inlineStr">
        <is>
          <t>MSM4352</t>
        </is>
      </c>
      <c r="B41" s="43" t="inlineStr">
        <is>
          <t>M4350-44M4X4V</t>
        </is>
      </c>
      <c r="C41" s="43" t="inlineStr">
        <is>
          <t>550W internal</t>
        </is>
      </c>
      <c r="D41" s="43" t="inlineStr">
        <is>
          <t>APS2000W</t>
        </is>
      </c>
      <c r="E41" s="43" t="n">
        <v>1</v>
      </c>
      <c r="F41" s="43" t="inlineStr">
        <is>
          <t>220 VAC</t>
        </is>
      </c>
      <c r="G41" s="48" t="n">
        <v>1786</v>
      </c>
      <c r="H41" s="48" t="n">
        <v>1694</v>
      </c>
      <c r="I41" s="48" t="n">
        <v>194</v>
      </c>
      <c r="J41" s="52">
        <f>IF(COUNT(H41,I41)=0,"",MIN(H41,I41))</f>
        <v/>
      </c>
      <c r="K41" s="43" t="inlineStr">
        <is>
          <t>1x APS2000W @220V</t>
        </is>
      </c>
      <c r="L41" s="43" t="n"/>
    </row>
    <row r="42" ht="15" customHeight="1" s="29">
      <c r="A42" s="43" t="inlineStr">
        <is>
          <t>MSM4352</t>
        </is>
      </c>
      <c r="B42" s="43" t="inlineStr">
        <is>
          <t>M4350-44M4X4V</t>
        </is>
      </c>
      <c r="C42" s="43" t="inlineStr">
        <is>
          <t>550W internal</t>
        </is>
      </c>
      <c r="D42" s="43" t="inlineStr">
        <is>
          <t>APS350W</t>
        </is>
      </c>
      <c r="E42" s="43" t="n">
        <v>2</v>
      </c>
      <c r="F42" s="43" t="inlineStr">
        <is>
          <t>110-240 VAC</t>
        </is>
      </c>
      <c r="G42" s="48" t="n">
        <v>674</v>
      </c>
      <c r="H42" s="48" t="n">
        <v>354</v>
      </c>
      <c r="I42" s="48" t="n">
        <v>394</v>
      </c>
      <c r="J42" s="52">
        <f>IF(COUNT(H42,I42)=0,"",MIN(H42,I42))</f>
        <v/>
      </c>
      <c r="K42" s="43" t="inlineStr">
        <is>
          <t>2x APS350W</t>
        </is>
      </c>
      <c r="L42" s="43" t="n"/>
    </row>
    <row r="43" ht="15" customHeight="1" s="29">
      <c r="A43" s="43" t="inlineStr">
        <is>
          <t>MSM4352</t>
        </is>
      </c>
      <c r="B43" s="43" t="inlineStr">
        <is>
          <t>M4350-44M4X4V</t>
        </is>
      </c>
      <c r="C43" s="43" t="inlineStr">
        <is>
          <t>550W internal</t>
        </is>
      </c>
      <c r="D43" s="43" t="inlineStr">
        <is>
          <t>APS600Wv2</t>
        </is>
      </c>
      <c r="E43" s="43" t="n">
        <v>2</v>
      </c>
      <c r="F43" s="43" t="inlineStr">
        <is>
          <t>110-240 VAC</t>
        </is>
      </c>
      <c r="G43" s="48" t="n">
        <v>1074</v>
      </c>
      <c r="H43" s="48" t="n">
        <v>754</v>
      </c>
      <c r="I43" s="48" t="n">
        <v>594</v>
      </c>
      <c r="J43" s="52">
        <f>IF(COUNT(H43,I43)=0,"",MIN(H43,I43))</f>
        <v/>
      </c>
      <c r="K43" s="43" t="inlineStr">
        <is>
          <t>2x APS600Wv2</t>
        </is>
      </c>
      <c r="L43" s="43" t="n"/>
    </row>
    <row r="44" ht="15" customHeight="1" s="29">
      <c r="A44" s="43" t="inlineStr">
        <is>
          <t>MSM4352</t>
        </is>
      </c>
      <c r="B44" s="43" t="inlineStr">
        <is>
          <t>M4350-44M4X4V</t>
        </is>
      </c>
      <c r="C44" s="43" t="inlineStr">
        <is>
          <t>550W internal</t>
        </is>
      </c>
      <c r="D44" s="43" t="inlineStr">
        <is>
          <t>APS920W</t>
        </is>
      </c>
      <c r="E44" s="43" t="n">
        <v>2</v>
      </c>
      <c r="F44" s="43" t="inlineStr">
        <is>
          <t>110-240 VAC</t>
        </is>
      </c>
      <c r="G44" s="48" t="n">
        <v>1586</v>
      </c>
      <c r="H44" s="48" t="n">
        <v>1266</v>
      </c>
      <c r="I44" s="48" t="n">
        <v>850</v>
      </c>
      <c r="J44" s="52">
        <f>IF(COUNT(H44,I44)=0,"",MIN(H44,I44))</f>
        <v/>
      </c>
      <c r="K44" s="43" t="inlineStr">
        <is>
          <t>2x APS920W</t>
        </is>
      </c>
      <c r="L44" s="43" t="n"/>
    </row>
    <row r="45" ht="15" customHeight="1" s="29">
      <c r="A45" s="43" t="inlineStr">
        <is>
          <t>MSM4352</t>
        </is>
      </c>
      <c r="B45" s="43" t="inlineStr">
        <is>
          <t>M4350-44M4X4V</t>
        </is>
      </c>
      <c r="C45" s="43" t="inlineStr">
        <is>
          <t>550W internal</t>
        </is>
      </c>
      <c r="D45" s="43" t="inlineStr">
        <is>
          <t>APS2000W</t>
        </is>
      </c>
      <c r="E45" s="43" t="n">
        <v>2</v>
      </c>
      <c r="F45" s="43" t="inlineStr">
        <is>
          <t>110 VAC</t>
        </is>
      </c>
      <c r="G45" s="48" t="n">
        <v>1714</v>
      </c>
      <c r="H45" s="48" t="n">
        <v>1394</v>
      </c>
      <c r="I45" s="48" t="n">
        <v>914</v>
      </c>
      <c r="J45" s="52">
        <f>IF(COUNT(H45,I45)=0,"",MIN(H45,I45))</f>
        <v/>
      </c>
      <c r="K45" s="43" t="inlineStr">
        <is>
          <t>2x APS2000W @110V</t>
        </is>
      </c>
      <c r="L45" s="43" t="n"/>
    </row>
    <row r="46" ht="15" customHeight="1" s="29">
      <c r="A46" s="43" t="inlineStr">
        <is>
          <t>MSM4352</t>
        </is>
      </c>
      <c r="B46" s="43" t="inlineStr">
        <is>
          <t>M4350-44M4X4V</t>
        </is>
      </c>
      <c r="C46" s="43" t="inlineStr">
        <is>
          <t>550W internal</t>
        </is>
      </c>
      <c r="D46" s="43" t="inlineStr">
        <is>
          <t>APS2000W</t>
        </is>
      </c>
      <c r="E46" s="43" t="n">
        <v>2</v>
      </c>
      <c r="F46" s="43" t="inlineStr">
        <is>
          <t>220 VAC</t>
        </is>
      </c>
      <c r="G46" s="48" t="n">
        <v>3314</v>
      </c>
      <c r="H46" s="48" t="n">
        <v>2994</v>
      </c>
      <c r="I46" s="48" t="n">
        <v>1786</v>
      </c>
      <c r="J46" s="52">
        <f>IF(COUNT(H46,I46)=0,"",MIN(H46,I46))</f>
        <v/>
      </c>
      <c r="K46" s="43" t="inlineStr">
        <is>
          <t>2x APS2000W @220V</t>
        </is>
      </c>
      <c r="L46" s="43" t="n"/>
    </row>
    <row r="47" ht="15" customHeight="1" s="29">
      <c r="A47" s="43" t="inlineStr">
        <is>
          <t>MSM4328F</t>
        </is>
      </c>
      <c r="B47" s="43" t="inlineStr">
        <is>
          <t>M4350-24F4X</t>
        </is>
      </c>
      <c r="C47" s="43" t="inlineStr">
        <is>
          <t>240W internal</t>
        </is>
      </c>
      <c r="D47" s="43" t="inlineStr">
        <is>
          <t>None</t>
        </is>
      </c>
      <c r="E47" s="43" t="n">
        <v>0</v>
      </c>
      <c r="F47" s="43" t="inlineStr">
        <is>
          <t>110-240 VAC</t>
        </is>
      </c>
      <c r="G47" s="48" t="n"/>
      <c r="H47" s="48" t="n"/>
      <c r="I47" s="48" t="n"/>
      <c r="J47" s="52">
        <f>IF(COUNT(H47,I47)=0,"",MIN(H47,I47))</f>
        <v/>
      </c>
      <c r="K47" s="43" t="inlineStr">
        <is>
          <t>Base (no module)</t>
        </is>
      </c>
      <c r="L47" s="43" t="inlineStr">
        <is>
          <t>Base budget, no redundancy</t>
        </is>
      </c>
    </row>
    <row r="48" ht="15" customHeight="1" s="29">
      <c r="A48" s="43" t="inlineStr">
        <is>
          <t>MSM4328F</t>
        </is>
      </c>
      <c r="B48" s="43" t="inlineStr">
        <is>
          <t>M4350-24F4X</t>
        </is>
      </c>
      <c r="C48" s="43" t="inlineStr">
        <is>
          <t>240W internal</t>
        </is>
      </c>
      <c r="D48" s="43" t="inlineStr">
        <is>
          <t>APS600Wv3</t>
        </is>
      </c>
      <c r="E48" s="43" t="n">
        <v>1</v>
      </c>
      <c r="F48" s="43" t="inlineStr">
        <is>
          <t>110-240 VAC</t>
        </is>
      </c>
      <c r="G48" s="48" t="n"/>
      <c r="H48" s="48" t="n"/>
      <c r="I48" s="48" t="n"/>
      <c r="J48" s="52">
        <f>IF(COUNT(H48,I48)=0,"",MIN(H48,I48))</f>
        <v/>
      </c>
      <c r="K48" s="43" t="inlineStr">
        <is>
          <t>1x APS600Wv3</t>
        </is>
      </c>
      <c r="L48" s="43" t="n"/>
    </row>
    <row r="49" ht="15" customHeight="1" s="29">
      <c r="A49" s="43" t="inlineStr">
        <is>
          <t>MSM4328F</t>
        </is>
      </c>
      <c r="B49" s="43" t="inlineStr">
        <is>
          <t>M4350-24F4X</t>
        </is>
      </c>
      <c r="C49" s="43" t="inlineStr">
        <is>
          <t>240W internal</t>
        </is>
      </c>
      <c r="D49" s="43" t="inlineStr">
        <is>
          <t>APS1200Wv2</t>
        </is>
      </c>
      <c r="E49" s="43" t="n">
        <v>1</v>
      </c>
      <c r="F49" s="43" t="inlineStr">
        <is>
          <t>110 VAC</t>
        </is>
      </c>
      <c r="G49" s="48" t="n"/>
      <c r="H49" s="48" t="n"/>
      <c r="I49" s="48" t="n"/>
      <c r="J49" s="52">
        <f>IF(COUNT(H49,I49)=0,"",MIN(H49,I49))</f>
        <v/>
      </c>
      <c r="K49" s="43" t="inlineStr">
        <is>
          <t>1x APS1200Wv2 @110V</t>
        </is>
      </c>
      <c r="L49" s="43" t="n"/>
    </row>
    <row r="50" ht="15" customHeight="1" s="29">
      <c r="A50" s="43" t="inlineStr">
        <is>
          <t>MSM4328F</t>
        </is>
      </c>
      <c r="B50" s="43" t="inlineStr">
        <is>
          <t>M4350-24F4X</t>
        </is>
      </c>
      <c r="C50" s="43" t="inlineStr">
        <is>
          <t>240W internal</t>
        </is>
      </c>
      <c r="D50" s="43" t="inlineStr">
        <is>
          <t>APS1200Wv2</t>
        </is>
      </c>
      <c r="E50" s="43" t="n">
        <v>1</v>
      </c>
      <c r="F50" s="43" t="inlineStr">
        <is>
          <t>220 VAC</t>
        </is>
      </c>
      <c r="G50" s="48" t="n"/>
      <c r="H50" s="48" t="n"/>
      <c r="I50" s="48" t="n"/>
      <c r="J50" s="52">
        <f>IF(COUNT(H50,I50)=0,"",MIN(H50,I50))</f>
        <v/>
      </c>
      <c r="K50" s="43" t="inlineStr">
        <is>
          <t>1x APS1200Wv2 @220V</t>
        </is>
      </c>
      <c r="L50" s="43" t="n"/>
    </row>
    <row r="51" ht="15" customHeight="1" s="29">
      <c r="A51" s="43" t="inlineStr">
        <is>
          <t>MSM4328F</t>
        </is>
      </c>
      <c r="B51" s="43" t="inlineStr">
        <is>
          <t>M4350-24F4X</t>
        </is>
      </c>
      <c r="C51" s="43" t="inlineStr">
        <is>
          <t>240W internal</t>
        </is>
      </c>
      <c r="D51" s="43" t="inlineStr">
        <is>
          <t>APS2000Wv2</t>
        </is>
      </c>
      <c r="E51" s="43" t="n">
        <v>1</v>
      </c>
      <c r="F51" s="43" t="inlineStr">
        <is>
          <t>110 VAC</t>
        </is>
      </c>
      <c r="G51" s="48" t="n"/>
      <c r="H51" s="48" t="n"/>
      <c r="I51" s="48" t="n"/>
      <c r="J51" s="52">
        <f>IF(COUNT(H51,I51)=0,"",MIN(H51,I51))</f>
        <v/>
      </c>
      <c r="K51" s="43" t="inlineStr">
        <is>
          <t>1x APS2000Wv2 @110V</t>
        </is>
      </c>
      <c r="L51" s="43" t="n"/>
    </row>
    <row r="52" ht="15" customHeight="1" s="29">
      <c r="A52" s="43" t="inlineStr">
        <is>
          <t>MSM4328F</t>
        </is>
      </c>
      <c r="B52" s="43" t="inlineStr">
        <is>
          <t>M4350-24F4X</t>
        </is>
      </c>
      <c r="C52" s="43" t="inlineStr">
        <is>
          <t>240W internal</t>
        </is>
      </c>
      <c r="D52" s="43" t="inlineStr">
        <is>
          <t>APS2000Wv2</t>
        </is>
      </c>
      <c r="E52" s="43" t="n">
        <v>1</v>
      </c>
      <c r="F52" s="43" t="inlineStr">
        <is>
          <t>220 VAC</t>
        </is>
      </c>
      <c r="G52" s="48" t="n"/>
      <c r="H52" s="48" t="n"/>
      <c r="I52" s="48" t="n"/>
      <c r="J52" s="52">
        <f>IF(COUNT(H52,I52)=0,"",MIN(H52,I52))</f>
        <v/>
      </c>
      <c r="K52" s="43" t="inlineStr">
        <is>
          <t>1x APS2000Wv2 @220V</t>
        </is>
      </c>
      <c r="L52" s="43" t="n"/>
    </row>
    <row r="53" ht="15" customHeight="1" s="29">
      <c r="A53" s="43" t="inlineStr">
        <is>
          <t>XSM4328CV</t>
        </is>
      </c>
      <c r="B53" s="43" t="inlineStr">
        <is>
          <t>M4350-24X4V</t>
        </is>
      </c>
      <c r="C53" s="43" t="inlineStr">
        <is>
          <t>880W internal</t>
        </is>
      </c>
      <c r="D53" s="43" t="inlineStr">
        <is>
          <t>None</t>
        </is>
      </c>
      <c r="E53" s="43" t="n">
        <v>0</v>
      </c>
      <c r="F53" s="43" t="inlineStr">
        <is>
          <t>110-240 VAC</t>
        </is>
      </c>
      <c r="G53" s="48" t="n">
        <v>576</v>
      </c>
      <c r="H53" s="48" t="n"/>
      <c r="I53" s="48" t="n"/>
      <c r="J53" s="52">
        <f>IF(COUNT(H53,I53)=0,"",MIN(H53,I53))</f>
        <v/>
      </c>
      <c r="K53" s="43" t="inlineStr">
        <is>
          <t>Base (no module)</t>
        </is>
      </c>
      <c r="L53" s="43" t="inlineStr">
        <is>
          <t>Base budget, no redundancy</t>
        </is>
      </c>
    </row>
    <row r="54" ht="15" customHeight="1" s="29">
      <c r="A54" s="43" t="inlineStr">
        <is>
          <t>XSM4328CV</t>
        </is>
      </c>
      <c r="B54" s="43" t="inlineStr">
        <is>
          <t>M4350-24X4V</t>
        </is>
      </c>
      <c r="C54" s="43" t="inlineStr">
        <is>
          <t>880W internal</t>
        </is>
      </c>
      <c r="D54" s="43" t="inlineStr">
        <is>
          <t>APS350W</t>
        </is>
      </c>
      <c r="E54" s="43" t="n">
        <v>1</v>
      </c>
      <c r="F54" s="43" t="inlineStr">
        <is>
          <t>110-240 VAC</t>
        </is>
      </c>
      <c r="G54" s="48" t="n">
        <v>700</v>
      </c>
      <c r="H54" s="48" t="n">
        <v>146</v>
      </c>
      <c r="I54" s="48" t="n">
        <v>576</v>
      </c>
      <c r="J54" s="52">
        <f>IF(COUNT(H54,I54)=0,"",MIN(H54,I54))</f>
        <v/>
      </c>
      <c r="K54" s="43" t="inlineStr">
        <is>
          <t>1x APS350W</t>
        </is>
      </c>
      <c r="L54" s="43" t="n"/>
    </row>
    <row r="55" ht="15" customHeight="1" s="29">
      <c r="A55" s="43" t="inlineStr">
        <is>
          <t>XSM4328CV</t>
        </is>
      </c>
      <c r="B55" s="43" t="inlineStr">
        <is>
          <t>M4350-24X4V</t>
        </is>
      </c>
      <c r="C55" s="43" t="inlineStr">
        <is>
          <t>880W internal</t>
        </is>
      </c>
      <c r="D55" s="43" t="inlineStr">
        <is>
          <t>APS600Wv2</t>
        </is>
      </c>
      <c r="E55" s="43" t="n">
        <v>1</v>
      </c>
      <c r="F55" s="43" t="inlineStr">
        <is>
          <t>110-240 VAC</t>
        </is>
      </c>
      <c r="G55" s="48" t="n">
        <v>720</v>
      </c>
      <c r="H55" s="48" t="n">
        <v>396</v>
      </c>
      <c r="I55" s="48" t="n">
        <v>576</v>
      </c>
      <c r="J55" s="52">
        <f>IF(COUNT(H55,I55)=0,"",MIN(H55,I55))</f>
        <v/>
      </c>
      <c r="K55" s="43" t="inlineStr">
        <is>
          <t>1x APS600Wv2</t>
        </is>
      </c>
      <c r="L55" s="43" t="n"/>
    </row>
    <row r="56" ht="15" customHeight="1" s="29">
      <c r="A56" s="43" t="inlineStr">
        <is>
          <t>XSM4328CV</t>
        </is>
      </c>
      <c r="B56" s="43" t="inlineStr">
        <is>
          <t>M4350-24X4V</t>
        </is>
      </c>
      <c r="C56" s="43" t="inlineStr">
        <is>
          <t>880W internal</t>
        </is>
      </c>
      <c r="D56" s="43" t="inlineStr">
        <is>
          <t>APS920W</t>
        </is>
      </c>
      <c r="E56" s="43" t="n">
        <v>1</v>
      </c>
      <c r="F56" s="43" t="inlineStr">
        <is>
          <t>110-240 VAC</t>
        </is>
      </c>
      <c r="G56" s="48" t="n">
        <v>720</v>
      </c>
      <c r="H56" s="48" t="n">
        <v>716</v>
      </c>
      <c r="I56" s="48" t="n">
        <v>576</v>
      </c>
      <c r="J56" s="52">
        <f>IF(COUNT(H56,I56)=0,"",MIN(H56,I56))</f>
        <v/>
      </c>
      <c r="K56" s="43" t="inlineStr">
        <is>
          <t>1x APS920W</t>
        </is>
      </c>
      <c r="L56" s="43" t="n"/>
    </row>
    <row r="57" ht="15" customHeight="1" s="29">
      <c r="A57" s="43" t="inlineStr">
        <is>
          <t>XSM4328CV</t>
        </is>
      </c>
      <c r="B57" s="43" t="inlineStr">
        <is>
          <t>M4350-24X4V</t>
        </is>
      </c>
      <c r="C57" s="43" t="inlineStr">
        <is>
          <t>880W internal</t>
        </is>
      </c>
      <c r="D57" s="43" t="inlineStr">
        <is>
          <t>APS2000W</t>
        </is>
      </c>
      <c r="E57" s="43" t="n">
        <v>1</v>
      </c>
      <c r="F57" s="43" t="inlineStr">
        <is>
          <t>110 VAC</t>
        </is>
      </c>
      <c r="G57" s="48" t="n">
        <v>720</v>
      </c>
      <c r="H57" s="48" t="n">
        <v>720</v>
      </c>
      <c r="I57" s="48" t="n">
        <v>576</v>
      </c>
      <c r="J57" s="52">
        <f>IF(COUNT(H57,I57)=0,"",MIN(H57,I57))</f>
        <v/>
      </c>
      <c r="K57" s="43" t="inlineStr">
        <is>
          <t>1x APS2000W @110V</t>
        </is>
      </c>
      <c r="L57" s="43" t="n"/>
    </row>
    <row r="58" ht="15" customHeight="1" s="29">
      <c r="A58" s="43" t="inlineStr">
        <is>
          <t>XSM4328CV</t>
        </is>
      </c>
      <c r="B58" s="43" t="inlineStr">
        <is>
          <t>M4350-24X4V</t>
        </is>
      </c>
      <c r="C58" s="43" t="inlineStr">
        <is>
          <t>880W internal</t>
        </is>
      </c>
      <c r="D58" s="43" t="inlineStr">
        <is>
          <t>APS2000W</t>
        </is>
      </c>
      <c r="E58" s="43" t="n">
        <v>1</v>
      </c>
      <c r="F58" s="43" t="inlineStr">
        <is>
          <t>220 VAC</t>
        </is>
      </c>
      <c r="G58" s="48" t="n">
        <v>720</v>
      </c>
      <c r="H58" s="48" t="n">
        <v>720</v>
      </c>
      <c r="I58" s="48" t="n">
        <v>576</v>
      </c>
      <c r="J58" s="52">
        <f>IF(COUNT(H58,I58)=0,"",MIN(H58,I58))</f>
        <v/>
      </c>
      <c r="K58" s="43" t="inlineStr">
        <is>
          <t>1x APS2000W @220V</t>
        </is>
      </c>
      <c r="L58" s="43" t="n"/>
    </row>
    <row r="59" ht="15" customHeight="1" s="29">
      <c r="A59" s="43" t="inlineStr">
        <is>
          <t>XSM4328FV</t>
        </is>
      </c>
      <c r="B59" s="43" t="inlineStr">
        <is>
          <t>M4350-24F4V</t>
        </is>
      </c>
      <c r="C59" s="43" t="inlineStr">
        <is>
          <t>240W internal</t>
        </is>
      </c>
      <c r="D59" s="43" t="inlineStr">
        <is>
          <t>None</t>
        </is>
      </c>
      <c r="E59" s="43" t="n">
        <v>0</v>
      </c>
      <c r="F59" s="43" t="inlineStr">
        <is>
          <t>110-240 VAC</t>
        </is>
      </c>
      <c r="G59" s="48" t="n"/>
      <c r="H59" s="48" t="n"/>
      <c r="I59" s="48" t="n"/>
      <c r="J59" s="52">
        <f>IF(COUNT(H59,I59)=0,"",MIN(H59,I59))</f>
        <v/>
      </c>
      <c r="K59" s="43" t="inlineStr">
        <is>
          <t>Base (no module)</t>
        </is>
      </c>
      <c r="L59" s="43" t="inlineStr">
        <is>
          <t>Base budget, no redundancy</t>
        </is>
      </c>
    </row>
    <row r="60" ht="15" customHeight="1" s="29">
      <c r="A60" s="43" t="inlineStr">
        <is>
          <t>XSM4328FV</t>
        </is>
      </c>
      <c r="B60" s="43" t="inlineStr">
        <is>
          <t>M4350-24F4V</t>
        </is>
      </c>
      <c r="C60" s="43" t="inlineStr">
        <is>
          <t>240W internal</t>
        </is>
      </c>
      <c r="D60" s="43" t="inlineStr">
        <is>
          <t>APS350W</t>
        </is>
      </c>
      <c r="E60" s="43" t="n">
        <v>1</v>
      </c>
      <c r="F60" s="43" t="inlineStr">
        <is>
          <t>110-240 VAC</t>
        </is>
      </c>
      <c r="G60" s="48" t="n"/>
      <c r="H60" s="48" t="n"/>
      <c r="I60" s="48" t="n"/>
      <c r="J60" s="52">
        <f>IF(COUNT(H60,I60)=0,"",MIN(H60,I60))</f>
        <v/>
      </c>
      <c r="K60" s="43" t="inlineStr">
        <is>
          <t>1x APS350W</t>
        </is>
      </c>
      <c r="L60" s="43" t="n"/>
    </row>
    <row r="61" ht="15" customHeight="1" s="29">
      <c r="A61" s="43" t="inlineStr">
        <is>
          <t>XSM4328FV</t>
        </is>
      </c>
      <c r="B61" s="43" t="inlineStr">
        <is>
          <t>M4350-24F4V</t>
        </is>
      </c>
      <c r="C61" s="43" t="inlineStr">
        <is>
          <t>240W internal</t>
        </is>
      </c>
      <c r="D61" s="43" t="inlineStr">
        <is>
          <t>APS600Wv2</t>
        </is>
      </c>
      <c r="E61" s="43" t="n">
        <v>1</v>
      </c>
      <c r="F61" s="43" t="inlineStr">
        <is>
          <t>110-240 VAC</t>
        </is>
      </c>
      <c r="G61" s="48" t="n"/>
      <c r="H61" s="48" t="n"/>
      <c r="I61" s="48" t="n"/>
      <c r="J61" s="52">
        <f>IF(COUNT(H61,I61)=0,"",MIN(H61,I61))</f>
        <v/>
      </c>
      <c r="K61" s="43" t="inlineStr">
        <is>
          <t>1x APS600Wv2</t>
        </is>
      </c>
      <c r="L61" s="43" t="n"/>
    </row>
    <row r="62" ht="15" customHeight="1" s="29">
      <c r="A62" s="43" t="inlineStr">
        <is>
          <t>XSM4328FV</t>
        </is>
      </c>
      <c r="B62" s="43" t="inlineStr">
        <is>
          <t>M4350-24F4V</t>
        </is>
      </c>
      <c r="C62" s="43" t="inlineStr">
        <is>
          <t>240W internal</t>
        </is>
      </c>
      <c r="D62" s="43" t="inlineStr">
        <is>
          <t>APS920W</t>
        </is>
      </c>
      <c r="E62" s="43" t="n">
        <v>1</v>
      </c>
      <c r="F62" s="43" t="inlineStr">
        <is>
          <t>110-240 VAC</t>
        </is>
      </c>
      <c r="G62" s="48" t="n"/>
      <c r="H62" s="48" t="n"/>
      <c r="I62" s="48" t="n"/>
      <c r="J62" s="52">
        <f>IF(COUNT(H62,I62)=0,"",MIN(H62,I62))</f>
        <v/>
      </c>
      <c r="K62" s="43" t="inlineStr">
        <is>
          <t>1x APS920W</t>
        </is>
      </c>
      <c r="L62" s="43" t="n"/>
    </row>
    <row r="63" ht="15" customHeight="1" s="29">
      <c r="A63" s="43" t="inlineStr">
        <is>
          <t>XSM4328FV</t>
        </is>
      </c>
      <c r="B63" s="43" t="inlineStr">
        <is>
          <t>M4350-24F4V</t>
        </is>
      </c>
      <c r="C63" s="43" t="inlineStr">
        <is>
          <t>240W internal</t>
        </is>
      </c>
      <c r="D63" s="43" t="inlineStr">
        <is>
          <t>APS2000W</t>
        </is>
      </c>
      <c r="E63" s="43" t="n">
        <v>1</v>
      </c>
      <c r="F63" s="43" t="inlineStr">
        <is>
          <t>110 VAC</t>
        </is>
      </c>
      <c r="G63" s="48" t="n"/>
      <c r="H63" s="48" t="n"/>
      <c r="I63" s="48" t="n"/>
      <c r="J63" s="52">
        <f>IF(COUNT(H63,I63)=0,"",MIN(H63,I63))</f>
        <v/>
      </c>
      <c r="K63" s="43" t="inlineStr">
        <is>
          <t>1x APS2000W @110V</t>
        </is>
      </c>
      <c r="L63" s="43" t="n"/>
    </row>
    <row r="64" ht="15" customHeight="1" s="29">
      <c r="A64" s="43" t="inlineStr">
        <is>
          <t>XSM4328FV</t>
        </is>
      </c>
      <c r="B64" s="43" t="inlineStr">
        <is>
          <t>M4350-24F4V</t>
        </is>
      </c>
      <c r="C64" s="43" t="inlineStr">
        <is>
          <t>240W internal</t>
        </is>
      </c>
      <c r="D64" s="43" t="inlineStr">
        <is>
          <t>APS2000W</t>
        </is>
      </c>
      <c r="E64" s="43" t="n">
        <v>1</v>
      </c>
      <c r="F64" s="43" t="inlineStr">
        <is>
          <t>220 VAC</t>
        </is>
      </c>
      <c r="G64" s="48" t="n"/>
      <c r="H64" s="48" t="n"/>
      <c r="I64" s="48" t="n"/>
      <c r="J64" s="52">
        <f>IF(COUNT(H64,I64)=0,"",MIN(H64,I64))</f>
        <v/>
      </c>
      <c r="K64" s="43" t="inlineStr">
        <is>
          <t>1x APS2000W @220V</t>
        </is>
      </c>
      <c r="L64" s="43" t="n"/>
    </row>
    <row r="65" ht="15" customHeight="1" s="29">
      <c r="A65" s="43" t="inlineStr">
        <is>
          <t>XSM4340CV</t>
        </is>
      </c>
      <c r="B65" s="43" t="inlineStr">
        <is>
          <t>M4350-36X4V</t>
        </is>
      </c>
      <c r="C65" s="43" t="inlineStr">
        <is>
          <t>750W internal</t>
        </is>
      </c>
      <c r="D65" s="43" t="inlineStr">
        <is>
          <t>None</t>
        </is>
      </c>
      <c r="E65" s="43" t="n">
        <v>0</v>
      </c>
      <c r="F65" s="43" t="inlineStr">
        <is>
          <t>110-240 VAC</t>
        </is>
      </c>
      <c r="G65" s="48" t="n">
        <v>280</v>
      </c>
      <c r="H65" s="48" t="n"/>
      <c r="I65" s="48" t="n"/>
      <c r="J65" s="52">
        <f>IF(COUNT(H65,I65)=0,"",MIN(H65,I65))</f>
        <v/>
      </c>
      <c r="K65" s="43" t="inlineStr">
        <is>
          <t>Base (no module)</t>
        </is>
      </c>
      <c r="L65" s="43" t="inlineStr">
        <is>
          <t>Base budget, no redundancy</t>
        </is>
      </c>
    </row>
    <row r="66" ht="15" customHeight="1" s="29">
      <c r="A66" s="43" t="inlineStr">
        <is>
          <t>XSM4340CV</t>
        </is>
      </c>
      <c r="B66" s="43" t="inlineStr">
        <is>
          <t>M4350-36X4V</t>
        </is>
      </c>
      <c r="C66" s="43" t="inlineStr">
        <is>
          <t>750W internal</t>
        </is>
      </c>
      <c r="D66" s="43" t="inlineStr">
        <is>
          <t>APS600Wv3</t>
        </is>
      </c>
      <c r="E66" s="43" t="n">
        <v>1</v>
      </c>
      <c r="F66" s="43" t="inlineStr">
        <is>
          <t>110-240 VAC</t>
        </is>
      </c>
      <c r="G66" s="48" t="n">
        <v>640</v>
      </c>
      <c r="H66" s="48" t="n">
        <v>280</v>
      </c>
      <c r="I66" s="48" t="n">
        <v>280</v>
      </c>
      <c r="J66" s="52">
        <f>IF(COUNT(H66,I66)=0,"",MIN(H66,I66))</f>
        <v/>
      </c>
      <c r="K66" s="43" t="inlineStr">
        <is>
          <t>1x APS600Wv3</t>
        </is>
      </c>
      <c r="L66" s="43" t="n"/>
    </row>
    <row r="67" ht="15" customHeight="1" s="29">
      <c r="A67" s="43" t="inlineStr">
        <is>
          <t>XSM4340CV</t>
        </is>
      </c>
      <c r="B67" s="43" t="inlineStr">
        <is>
          <t>M4350-36X4V</t>
        </is>
      </c>
      <c r="C67" s="43" t="inlineStr">
        <is>
          <t>750W internal</t>
        </is>
      </c>
      <c r="D67" s="43" t="inlineStr">
        <is>
          <t>APS1200Wv2</t>
        </is>
      </c>
      <c r="E67" s="43" t="n">
        <v>1</v>
      </c>
      <c r="F67" s="43" t="inlineStr">
        <is>
          <t>110 VAC</t>
        </is>
      </c>
      <c r="G67" s="48" t="n">
        <v>960</v>
      </c>
      <c r="H67" s="48" t="n">
        <v>680</v>
      </c>
      <c r="I67" s="48" t="n">
        <v>280</v>
      </c>
      <c r="J67" s="52">
        <f>IF(COUNT(H67,I67)=0,"",MIN(H67,I67))</f>
        <v/>
      </c>
      <c r="K67" s="43" t="inlineStr">
        <is>
          <t>1x APS1200Wv2 @110V</t>
        </is>
      </c>
      <c r="L67" s="43" t="n"/>
    </row>
    <row r="68" ht="15" customHeight="1" s="29">
      <c r="A68" s="43" t="inlineStr">
        <is>
          <t>XSM4340CV</t>
        </is>
      </c>
      <c r="B68" s="43" t="inlineStr">
        <is>
          <t>M4350-36X4V</t>
        </is>
      </c>
      <c r="C68" s="43" t="inlineStr">
        <is>
          <t>750W internal</t>
        </is>
      </c>
      <c r="D68" s="43" t="inlineStr">
        <is>
          <t>APS1200Wv2</t>
        </is>
      </c>
      <c r="E68" s="43" t="n">
        <v>1</v>
      </c>
      <c r="F68" s="43" t="inlineStr">
        <is>
          <t>220 VAC</t>
        </is>
      </c>
      <c r="G68" s="48" t="n">
        <v>1120</v>
      </c>
      <c r="H68" s="48" t="n">
        <v>880</v>
      </c>
      <c r="I68" s="48" t="n">
        <v>280</v>
      </c>
      <c r="J68" s="52">
        <f>IF(COUNT(H68,I68)=0,"",MIN(H68,I68))</f>
        <v/>
      </c>
      <c r="K68" s="43" t="inlineStr">
        <is>
          <t>1x APS1200Wv2 @220V</t>
        </is>
      </c>
      <c r="L68" s="43" t="n"/>
    </row>
    <row r="69" ht="15" customHeight="1" s="29">
      <c r="A69" s="43" t="inlineStr">
        <is>
          <t>XSM4340CV</t>
        </is>
      </c>
      <c r="B69" s="43" t="inlineStr">
        <is>
          <t>M4350-36X4V</t>
        </is>
      </c>
      <c r="C69" s="43" t="inlineStr">
        <is>
          <t>750W internal</t>
        </is>
      </c>
      <c r="D69" s="43" t="inlineStr">
        <is>
          <t>APS2000Wv2</t>
        </is>
      </c>
      <c r="E69" s="43" t="n">
        <v>1</v>
      </c>
      <c r="F69" s="43" t="inlineStr">
        <is>
          <t>110 VAC</t>
        </is>
      </c>
      <c r="G69" s="48" t="n">
        <v>960</v>
      </c>
      <c r="H69" s="48" t="n">
        <v>680</v>
      </c>
      <c r="I69" s="48" t="n">
        <v>280</v>
      </c>
      <c r="J69" s="52">
        <f>IF(COUNT(H69,I69)=0,"",MIN(H69,I69))</f>
        <v/>
      </c>
      <c r="K69" s="43" t="inlineStr">
        <is>
          <t>1x APS2000Wv2 @110V</t>
        </is>
      </c>
      <c r="L69" s="43" t="n"/>
    </row>
    <row r="70" ht="15" customHeight="1" s="29">
      <c r="A70" s="43" t="inlineStr">
        <is>
          <t>XSM4340CV</t>
        </is>
      </c>
      <c r="B70" s="43" t="inlineStr">
        <is>
          <t>M4350-36X4V</t>
        </is>
      </c>
      <c r="C70" s="43" t="inlineStr">
        <is>
          <t>750W internal</t>
        </is>
      </c>
      <c r="D70" s="43" t="inlineStr">
        <is>
          <t>APS2000Wv2</t>
        </is>
      </c>
      <c r="E70" s="43" t="n">
        <v>1</v>
      </c>
      <c r="F70" s="43" t="inlineStr">
        <is>
          <t>220 VAC</t>
        </is>
      </c>
      <c r="G70" s="48" t="n">
        <v>1760</v>
      </c>
      <c r="H70" s="48" t="n">
        <v>1680</v>
      </c>
      <c r="I70" s="48" t="n">
        <v>280</v>
      </c>
      <c r="J70" s="52">
        <f>IF(COUNT(H70,I70)=0,"",MIN(H70,I70))</f>
        <v/>
      </c>
      <c r="K70" s="43" t="inlineStr">
        <is>
          <t>1x APS2000Wv2 @220V</t>
        </is>
      </c>
      <c r="L70" s="43" t="n"/>
    </row>
    <row r="71" ht="15" customHeight="1" s="29">
      <c r="A71" s="43" t="inlineStr">
        <is>
          <t>XSM4340V</t>
        </is>
      </c>
      <c r="B71" s="43" t="inlineStr">
        <is>
          <t>M4350-24X8F8V</t>
        </is>
      </c>
      <c r="C71" s="43" t="inlineStr">
        <is>
          <t>750W internal</t>
        </is>
      </c>
      <c r="D71" s="43" t="inlineStr">
        <is>
          <t>None</t>
        </is>
      </c>
      <c r="E71" s="43" t="n">
        <v>0</v>
      </c>
      <c r="F71" s="43" t="inlineStr">
        <is>
          <t>110-240 VAC</t>
        </is>
      </c>
      <c r="G71" s="48" t="n">
        <v>290</v>
      </c>
      <c r="H71" s="48" t="n"/>
      <c r="I71" s="48" t="n"/>
      <c r="J71" s="52">
        <f>IF(COUNT(H71,I71)=0,"",MIN(H71,I71))</f>
        <v/>
      </c>
      <c r="K71" s="43" t="inlineStr">
        <is>
          <t>Base (no module)</t>
        </is>
      </c>
      <c r="L71" s="43" t="inlineStr">
        <is>
          <t>Base budget, no redundancy</t>
        </is>
      </c>
    </row>
    <row r="72" ht="15" customHeight="1" s="29">
      <c r="A72" s="43" t="inlineStr">
        <is>
          <t>XSM4340V</t>
        </is>
      </c>
      <c r="B72" s="43" t="inlineStr">
        <is>
          <t>M4350-24X8F8V</t>
        </is>
      </c>
      <c r="C72" s="43" t="inlineStr">
        <is>
          <t>750W internal</t>
        </is>
      </c>
      <c r="D72" s="43" t="inlineStr">
        <is>
          <t>APS600Wv3</t>
        </is>
      </c>
      <c r="E72" s="43" t="n">
        <v>1</v>
      </c>
      <c r="F72" s="43" t="inlineStr">
        <is>
          <t>110-240 VAC</t>
        </is>
      </c>
      <c r="G72" s="48" t="n">
        <v>650</v>
      </c>
      <c r="H72" s="48" t="n">
        <v>290</v>
      </c>
      <c r="I72" s="48" t="n">
        <v>290</v>
      </c>
      <c r="J72" s="52">
        <f>IF(COUNT(H72,I72)=0,"",MIN(H72,I72))</f>
        <v/>
      </c>
      <c r="K72" s="43" t="inlineStr">
        <is>
          <t>1x APS600Wv3</t>
        </is>
      </c>
      <c r="L72" s="43" t="n"/>
    </row>
    <row r="73" ht="15" customHeight="1" s="29">
      <c r="A73" s="43" t="inlineStr">
        <is>
          <t>XSM4340V</t>
        </is>
      </c>
      <c r="B73" s="43" t="inlineStr">
        <is>
          <t>M4350-24X8F8V</t>
        </is>
      </c>
      <c r="C73" s="43" t="inlineStr">
        <is>
          <t>750W internal</t>
        </is>
      </c>
      <c r="D73" s="43" t="inlineStr">
        <is>
          <t>APS1200Wv2</t>
        </is>
      </c>
      <c r="E73" s="43" t="n">
        <v>1</v>
      </c>
      <c r="F73" s="43" t="inlineStr">
        <is>
          <t>110 VAC</t>
        </is>
      </c>
      <c r="G73" s="48" t="n">
        <v>970</v>
      </c>
      <c r="H73" s="48" t="n">
        <v>690</v>
      </c>
      <c r="I73" s="48" t="n">
        <v>290</v>
      </c>
      <c r="J73" s="52">
        <f>IF(COUNT(H73,I73)=0,"",MIN(H73,I73))</f>
        <v/>
      </c>
      <c r="K73" s="43" t="inlineStr">
        <is>
          <t>1x APS1200Wv2 @110V</t>
        </is>
      </c>
      <c r="L73" s="43" t="n"/>
    </row>
    <row r="74" ht="15" customHeight="1" s="29">
      <c r="A74" s="43" t="inlineStr">
        <is>
          <t>XSM4340V</t>
        </is>
      </c>
      <c r="B74" s="43" t="inlineStr">
        <is>
          <t>M4350-24X8F8V</t>
        </is>
      </c>
      <c r="C74" s="43" t="inlineStr">
        <is>
          <t>750W internal</t>
        </is>
      </c>
      <c r="D74" s="43" t="inlineStr">
        <is>
          <t>APS1200Wv2</t>
        </is>
      </c>
      <c r="E74" s="43" t="n">
        <v>1</v>
      </c>
      <c r="F74" s="43" t="inlineStr">
        <is>
          <t>220 VAC</t>
        </is>
      </c>
      <c r="G74" s="48" t="n">
        <v>1130</v>
      </c>
      <c r="H74" s="48" t="n">
        <v>890</v>
      </c>
      <c r="I74" s="48" t="n">
        <v>290</v>
      </c>
      <c r="J74" s="52">
        <f>IF(COUNT(H74,I74)=0,"",MIN(H74,I74))</f>
        <v/>
      </c>
      <c r="K74" s="43" t="inlineStr">
        <is>
          <t>1x APS1200Wv2 @220V</t>
        </is>
      </c>
      <c r="L74" s="43" t="n"/>
    </row>
    <row r="75" ht="15" customHeight="1" s="29">
      <c r="A75" s="43" t="inlineStr">
        <is>
          <t>XSM4340V</t>
        </is>
      </c>
      <c r="B75" s="43" t="inlineStr">
        <is>
          <t>M4350-24X8F8V</t>
        </is>
      </c>
      <c r="C75" s="43" t="inlineStr">
        <is>
          <t>750W internal</t>
        </is>
      </c>
      <c r="D75" s="43" t="inlineStr">
        <is>
          <t>APS2000Wv2</t>
        </is>
      </c>
      <c r="E75" s="43" t="n">
        <v>1</v>
      </c>
      <c r="F75" s="43" t="inlineStr">
        <is>
          <t>110 VAC</t>
        </is>
      </c>
      <c r="G75" s="48" t="n">
        <v>970</v>
      </c>
      <c r="H75" s="48" t="n">
        <v>690</v>
      </c>
      <c r="I75" s="48" t="n">
        <v>290</v>
      </c>
      <c r="J75" s="52">
        <f>IF(COUNT(H75,I75)=0,"",MIN(H75,I75))</f>
        <v/>
      </c>
      <c r="K75" s="43" t="inlineStr">
        <is>
          <t>1x APS2000Wv2 @110V</t>
        </is>
      </c>
      <c r="L75" s="43" t="n"/>
    </row>
    <row r="76" ht="15" customHeight="1" s="29">
      <c r="A76" s="43" t="inlineStr">
        <is>
          <t>XSM4340V</t>
        </is>
      </c>
      <c r="B76" s="43" t="inlineStr">
        <is>
          <t>M4350-24X8F8V</t>
        </is>
      </c>
      <c r="C76" s="43" t="inlineStr">
        <is>
          <t>750W internal</t>
        </is>
      </c>
      <c r="D76" s="43" t="inlineStr">
        <is>
          <t>APS2000Wv2</t>
        </is>
      </c>
      <c r="E76" s="43" t="n">
        <v>1</v>
      </c>
      <c r="F76" s="43" t="inlineStr">
        <is>
          <t>220 VAC</t>
        </is>
      </c>
      <c r="G76" s="48" t="n">
        <v>1770</v>
      </c>
      <c r="H76" s="48" t="n">
        <v>1690</v>
      </c>
      <c r="I76" s="48" t="n">
        <v>290</v>
      </c>
      <c r="J76" s="52">
        <f>IF(COUNT(H76,I76)=0,"",MIN(H76,I76))</f>
        <v/>
      </c>
      <c r="K76" s="43" t="inlineStr">
        <is>
          <t>1x APS2000Wv2 @220V</t>
        </is>
      </c>
      <c r="L76" s="43" t="n"/>
    </row>
    <row r="77" ht="15" customHeight="1" s="29">
      <c r="A77" s="43" t="inlineStr">
        <is>
          <t>XSM4340FV</t>
        </is>
      </c>
      <c r="B77" s="43" t="inlineStr">
        <is>
          <t>M4350-32F8V</t>
        </is>
      </c>
      <c r="C77" s="43" t="inlineStr">
        <is>
          <t>420W internal</t>
        </is>
      </c>
      <c r="D77" s="43" t="inlineStr">
        <is>
          <t>None</t>
        </is>
      </c>
      <c r="E77" s="43" t="n">
        <v>0</v>
      </c>
      <c r="F77" s="43" t="inlineStr">
        <is>
          <t>110-240 VAC</t>
        </is>
      </c>
      <c r="G77" s="48" t="n"/>
      <c r="H77" s="48" t="n"/>
      <c r="I77" s="48" t="n"/>
      <c r="J77" s="52">
        <f>IF(COUNT(H77,I77)=0,"",MIN(H77,I77))</f>
        <v/>
      </c>
      <c r="K77" s="43" t="inlineStr">
        <is>
          <t>Base (no module)</t>
        </is>
      </c>
      <c r="L77" s="43" t="inlineStr">
        <is>
          <t>Base budget, no redundancy</t>
        </is>
      </c>
    </row>
    <row r="78" ht="15" customHeight="1" s="29">
      <c r="A78" s="43" t="inlineStr">
        <is>
          <t>XSM4340FV</t>
        </is>
      </c>
      <c r="B78" s="43" t="inlineStr">
        <is>
          <t>M4350-32F8V</t>
        </is>
      </c>
      <c r="C78" s="43" t="inlineStr">
        <is>
          <t>420W internal</t>
        </is>
      </c>
      <c r="D78" s="43" t="inlineStr">
        <is>
          <t>APS600Wv3</t>
        </is>
      </c>
      <c r="E78" s="43" t="n">
        <v>1</v>
      </c>
      <c r="F78" s="43" t="inlineStr">
        <is>
          <t>110-240 VAC</t>
        </is>
      </c>
      <c r="G78" s="48" t="n"/>
      <c r="H78" s="48" t="n"/>
      <c r="I78" s="48" t="n"/>
      <c r="J78" s="52">
        <f>IF(COUNT(H78,I78)=0,"",MIN(H78,I78))</f>
        <v/>
      </c>
      <c r="K78" s="43" t="inlineStr">
        <is>
          <t>1x APS600Wv3</t>
        </is>
      </c>
      <c r="L78" s="43" t="n"/>
    </row>
    <row r="79" ht="15" customHeight="1" s="29">
      <c r="A79" s="43" t="inlineStr">
        <is>
          <t>XSM4340FV</t>
        </is>
      </c>
      <c r="B79" s="43" t="inlineStr">
        <is>
          <t>M4350-32F8V</t>
        </is>
      </c>
      <c r="C79" s="43" t="inlineStr">
        <is>
          <t>420W internal</t>
        </is>
      </c>
      <c r="D79" s="43" t="inlineStr">
        <is>
          <t>APS1200Wv2</t>
        </is>
      </c>
      <c r="E79" s="43" t="n">
        <v>1</v>
      </c>
      <c r="F79" s="43" t="inlineStr">
        <is>
          <t>110 VAC</t>
        </is>
      </c>
      <c r="G79" s="48" t="n"/>
      <c r="H79" s="48" t="n"/>
      <c r="I79" s="48" t="n"/>
      <c r="J79" s="52">
        <f>IF(COUNT(H79,I79)=0,"",MIN(H79,I79))</f>
        <v/>
      </c>
      <c r="K79" s="43" t="inlineStr">
        <is>
          <t>1x APS1200Wv2 @110V</t>
        </is>
      </c>
      <c r="L79" s="43" t="n"/>
    </row>
    <row r="80" ht="15" customHeight="1" s="29">
      <c r="A80" s="43" t="inlineStr">
        <is>
          <t>XSM4340FV</t>
        </is>
      </c>
      <c r="B80" s="43" t="inlineStr">
        <is>
          <t>M4350-32F8V</t>
        </is>
      </c>
      <c r="C80" s="43" t="inlineStr">
        <is>
          <t>420W internal</t>
        </is>
      </c>
      <c r="D80" s="43" t="inlineStr">
        <is>
          <t>APS1200Wv2</t>
        </is>
      </c>
      <c r="E80" s="43" t="n">
        <v>1</v>
      </c>
      <c r="F80" s="43" t="inlineStr">
        <is>
          <t>220 VAC</t>
        </is>
      </c>
      <c r="G80" s="48" t="n"/>
      <c r="H80" s="48" t="n"/>
      <c r="I80" s="48" t="n"/>
      <c r="J80" s="52">
        <f>IF(COUNT(H80,I80)=0,"",MIN(H80,I80))</f>
        <v/>
      </c>
      <c r="K80" s="43" t="inlineStr">
        <is>
          <t>1x APS1200Wv2 @220V</t>
        </is>
      </c>
      <c r="L80" s="43" t="n"/>
    </row>
    <row r="81" ht="15" customHeight="1" s="29">
      <c r="A81" s="43" t="inlineStr">
        <is>
          <t>XSM4340FV</t>
        </is>
      </c>
      <c r="B81" s="43" t="inlineStr">
        <is>
          <t>M4350-32F8V</t>
        </is>
      </c>
      <c r="C81" s="43" t="inlineStr">
        <is>
          <t>420W internal</t>
        </is>
      </c>
      <c r="D81" s="43" t="inlineStr">
        <is>
          <t>APS2000Wv2</t>
        </is>
      </c>
      <c r="E81" s="43" t="n">
        <v>1</v>
      </c>
      <c r="F81" s="43" t="inlineStr">
        <is>
          <t>110 VAC</t>
        </is>
      </c>
      <c r="G81" s="48" t="n"/>
      <c r="H81" s="48" t="n"/>
      <c r="I81" s="48" t="n"/>
      <c r="J81" s="52">
        <f>IF(COUNT(H81,I81)=0,"",MIN(H81,I81))</f>
        <v/>
      </c>
      <c r="K81" s="43" t="inlineStr">
        <is>
          <t>1x APS2000Wv2 @110V</t>
        </is>
      </c>
      <c r="L81" s="43" t="n"/>
    </row>
    <row r="82" ht="15" customHeight="1" s="29">
      <c r="A82" s="43" t="inlineStr">
        <is>
          <t>XSM4340FV</t>
        </is>
      </c>
      <c r="B82" s="43" t="inlineStr">
        <is>
          <t>M4350-32F8V</t>
        </is>
      </c>
      <c r="C82" s="43" t="inlineStr">
        <is>
          <t>420W internal</t>
        </is>
      </c>
      <c r="D82" s="43" t="inlineStr">
        <is>
          <t>APS2000Wv2</t>
        </is>
      </c>
      <c r="E82" s="43" t="n">
        <v>1</v>
      </c>
      <c r="F82" s="43" t="inlineStr">
        <is>
          <t>220 VAC</t>
        </is>
      </c>
      <c r="G82" s="48" t="n"/>
      <c r="H82" s="48" t="n"/>
      <c r="I82" s="48" t="n"/>
      <c r="J82" s="52">
        <f>IF(COUNT(H82,I82)=0,"",MIN(H82,I82))</f>
        <v/>
      </c>
      <c r="K82" s="43" t="inlineStr">
        <is>
          <t>1x APS2000Wv2 @220V</t>
        </is>
      </c>
      <c r="L82" s="43" t="n"/>
    </row>
    <row r="83" ht="15" customHeight="1" s="29">
      <c r="A83" s="43" t="inlineStr">
        <is>
          <t>VSM4320C</t>
        </is>
      </c>
      <c r="B83" s="43" t="inlineStr">
        <is>
          <t>M4350-16V4C</t>
        </is>
      </c>
      <c r="C83" s="43" t="inlineStr">
        <is>
          <t>420W internal</t>
        </is>
      </c>
      <c r="D83" s="43" t="inlineStr">
        <is>
          <t>None</t>
        </is>
      </c>
      <c r="E83" s="43" t="n">
        <v>0</v>
      </c>
      <c r="F83" s="43" t="inlineStr">
        <is>
          <t>110-240 VAC</t>
        </is>
      </c>
      <c r="G83" s="48" t="n"/>
      <c r="H83" s="48" t="n"/>
      <c r="I83" s="48" t="n"/>
      <c r="J83" s="52">
        <f>IF(COUNT(H83,I83)=0,"",MIN(H83,I83))</f>
        <v/>
      </c>
      <c r="K83" s="43" t="inlineStr">
        <is>
          <t>Base (no module)</t>
        </is>
      </c>
      <c r="L83" s="43" t="inlineStr">
        <is>
          <t>Base budget, no redundancy</t>
        </is>
      </c>
    </row>
    <row r="84" ht="15" customHeight="1" s="29">
      <c r="A84" s="43" t="inlineStr">
        <is>
          <t>VSM4320C</t>
        </is>
      </c>
      <c r="B84" s="43" t="inlineStr">
        <is>
          <t>M4350-16V4C</t>
        </is>
      </c>
      <c r="C84" s="43" t="inlineStr">
        <is>
          <t>420W internal</t>
        </is>
      </c>
      <c r="D84" s="43" t="inlineStr">
        <is>
          <t>APS600Wv3</t>
        </is>
      </c>
      <c r="E84" s="43" t="n">
        <v>1</v>
      </c>
      <c r="F84" s="43" t="inlineStr">
        <is>
          <t>110-240 VAC</t>
        </is>
      </c>
      <c r="G84" s="48" t="n"/>
      <c r="H84" s="48" t="n"/>
      <c r="I84" s="48" t="n"/>
      <c r="J84" s="52">
        <f>IF(COUNT(H84,I84)=0,"",MIN(H84,I84))</f>
        <v/>
      </c>
      <c r="K84" s="43" t="inlineStr">
        <is>
          <t>1x APS600Wv3</t>
        </is>
      </c>
      <c r="L84" s="43" t="n"/>
    </row>
    <row r="85" ht="15" customHeight="1" s="29">
      <c r="A85" s="43" t="inlineStr">
        <is>
          <t>VSM4320C</t>
        </is>
      </c>
      <c r="B85" s="43" t="inlineStr">
        <is>
          <t>M4350-16V4C</t>
        </is>
      </c>
      <c r="C85" s="43" t="inlineStr">
        <is>
          <t>420W internal</t>
        </is>
      </c>
      <c r="D85" s="43" t="inlineStr">
        <is>
          <t>APS1200Wv2</t>
        </is>
      </c>
      <c r="E85" s="43" t="n">
        <v>1</v>
      </c>
      <c r="F85" s="43" t="inlineStr">
        <is>
          <t>110 VAC</t>
        </is>
      </c>
      <c r="G85" s="48" t="n"/>
      <c r="H85" s="48" t="n"/>
      <c r="I85" s="48" t="n"/>
      <c r="J85" s="52">
        <f>IF(COUNT(H85,I85)=0,"",MIN(H85,I85))</f>
        <v/>
      </c>
      <c r="K85" s="43" t="inlineStr">
        <is>
          <t>1x APS1200Wv2 @110V</t>
        </is>
      </c>
      <c r="L85" s="43" t="n"/>
    </row>
    <row r="86" ht="15" customHeight="1" s="29">
      <c r="A86" s="43" t="inlineStr">
        <is>
          <t>VSM4320C</t>
        </is>
      </c>
      <c r="B86" s="43" t="inlineStr">
        <is>
          <t>M4350-16V4C</t>
        </is>
      </c>
      <c r="C86" s="43" t="inlineStr">
        <is>
          <t>420W internal</t>
        </is>
      </c>
      <c r="D86" s="43" t="inlineStr">
        <is>
          <t>APS1200Wv2</t>
        </is>
      </c>
      <c r="E86" s="43" t="n">
        <v>1</v>
      </c>
      <c r="F86" s="43" t="inlineStr">
        <is>
          <t>220 VAC</t>
        </is>
      </c>
      <c r="G86" s="48" t="n"/>
      <c r="H86" s="48" t="n"/>
      <c r="I86" s="48" t="n"/>
      <c r="J86" s="52">
        <f>IF(COUNT(H86,I86)=0,"",MIN(H86,I86))</f>
        <v/>
      </c>
      <c r="K86" s="43" t="inlineStr">
        <is>
          <t>1x APS1200Wv2 @220V</t>
        </is>
      </c>
      <c r="L86" s="43" t="n"/>
    </row>
    <row r="87" ht="15" customHeight="1" s="29">
      <c r="A87" s="43" t="inlineStr">
        <is>
          <t>VSM4320C</t>
        </is>
      </c>
      <c r="B87" s="43" t="inlineStr">
        <is>
          <t>M4350-16V4C</t>
        </is>
      </c>
      <c r="C87" s="43" t="inlineStr">
        <is>
          <t>420W internal</t>
        </is>
      </c>
      <c r="D87" s="43" t="inlineStr">
        <is>
          <t>APS2000Wv2</t>
        </is>
      </c>
      <c r="E87" s="43" t="n">
        <v>1</v>
      </c>
      <c r="F87" s="43" t="inlineStr">
        <is>
          <t>110 VAC</t>
        </is>
      </c>
      <c r="G87" s="48" t="n"/>
      <c r="H87" s="48" t="n"/>
      <c r="I87" s="48" t="n"/>
      <c r="J87" s="52">
        <f>IF(COUNT(H87,I87)=0,"",MIN(H87,I87))</f>
        <v/>
      </c>
      <c r="K87" s="43" t="inlineStr">
        <is>
          <t>1x APS2000Wv2 @110V</t>
        </is>
      </c>
      <c r="L87" s="43" t="n"/>
    </row>
    <row r="88" ht="15" customHeight="1" s="29">
      <c r="A88" s="43" t="inlineStr">
        <is>
          <t>VSM4320C</t>
        </is>
      </c>
      <c r="B88" s="43" t="inlineStr">
        <is>
          <t>M4350-16V4C</t>
        </is>
      </c>
      <c r="C88" s="43" t="inlineStr">
        <is>
          <t>420W internal</t>
        </is>
      </c>
      <c r="D88" s="43" t="inlineStr">
        <is>
          <t>APS2000Wv2</t>
        </is>
      </c>
      <c r="E88" s="43" t="n">
        <v>1</v>
      </c>
      <c r="F88" s="43" t="inlineStr">
        <is>
          <t>220 VAC</t>
        </is>
      </c>
      <c r="G88" s="48" t="n"/>
      <c r="H88" s="48" t="n"/>
      <c r="I88" s="48" t="n"/>
      <c r="J88" s="52">
        <f>IF(COUNT(H88,I88)=0,"",MIN(H88,I88))</f>
        <v/>
      </c>
      <c r="K88" s="43" t="inlineStr">
        <is>
          <t>1x APS2000Wv2 @220V</t>
        </is>
      </c>
      <c r="L88" s="43" t="n"/>
    </row>
    <row r="89" ht="15" customHeight="1" s="29">
      <c r="A89" s="43" t="inlineStr">
        <is>
          <t>XSM4344C</t>
        </is>
      </c>
      <c r="B89" s="43" t="inlineStr">
        <is>
          <t>M4350-40X4C</t>
        </is>
      </c>
      <c r="C89" s="43" t="inlineStr">
        <is>
          <t>750W internal</t>
        </is>
      </c>
      <c r="D89" s="43" t="inlineStr">
        <is>
          <t>None</t>
        </is>
      </c>
      <c r="E89" s="43" t="n">
        <v>0</v>
      </c>
      <c r="F89" s="43" t="inlineStr">
        <is>
          <t>110-240 VAC</t>
        </is>
      </c>
      <c r="G89" s="48" t="n">
        <v>196</v>
      </c>
      <c r="H89" s="48" t="n"/>
      <c r="I89" s="48" t="n"/>
      <c r="J89" s="52">
        <f>IF(COUNT(H89,I89)=0,"",MIN(H89,I89))</f>
        <v/>
      </c>
      <c r="K89" s="43" t="inlineStr">
        <is>
          <t>Base (no module)</t>
        </is>
      </c>
      <c r="L89" s="43" t="inlineStr">
        <is>
          <t>Base budget, no redundancy</t>
        </is>
      </c>
    </row>
    <row r="90" ht="15" customHeight="1" s="29">
      <c r="A90" s="43" t="inlineStr">
        <is>
          <t>XSM4344C</t>
        </is>
      </c>
      <c r="B90" s="43" t="inlineStr">
        <is>
          <t>M4350-40X4C</t>
        </is>
      </c>
      <c r="C90" s="43" t="inlineStr">
        <is>
          <t>750W internal</t>
        </is>
      </c>
      <c r="D90" s="43" t="inlineStr">
        <is>
          <t>APS600Wv3</t>
        </is>
      </c>
      <c r="E90" s="43" t="n">
        <v>1</v>
      </c>
      <c r="F90" s="43" t="inlineStr">
        <is>
          <t>110-240 VAC</t>
        </is>
      </c>
      <c r="G90" s="48" t="n">
        <v>556</v>
      </c>
      <c r="H90" s="48" t="n">
        <v>196</v>
      </c>
      <c r="I90" s="48" t="n">
        <v>196</v>
      </c>
      <c r="J90" s="52">
        <f>IF(COUNT(H90,I90)=0,"",MIN(H90,I90))</f>
        <v/>
      </c>
      <c r="K90" s="43" t="inlineStr">
        <is>
          <t>1x APS600Wv3</t>
        </is>
      </c>
      <c r="L90" s="43" t="n"/>
    </row>
    <row r="91" ht="15" customHeight="1" s="29">
      <c r="A91" s="43" t="inlineStr">
        <is>
          <t>XSM4344C</t>
        </is>
      </c>
      <c r="B91" s="43" t="inlineStr">
        <is>
          <t>M4350-40X4C</t>
        </is>
      </c>
      <c r="C91" s="43" t="inlineStr">
        <is>
          <t>750W internal</t>
        </is>
      </c>
      <c r="D91" s="43" t="inlineStr">
        <is>
          <t>APS1200Wv2</t>
        </is>
      </c>
      <c r="E91" s="43" t="n">
        <v>1</v>
      </c>
      <c r="F91" s="43" t="inlineStr">
        <is>
          <t>110 VAC</t>
        </is>
      </c>
      <c r="G91" s="48" t="n">
        <v>876</v>
      </c>
      <c r="H91" s="48" t="n">
        <v>596</v>
      </c>
      <c r="I91" s="48" t="n">
        <v>196</v>
      </c>
      <c r="J91" s="52">
        <f>IF(COUNT(H91,I91)=0,"",MIN(H91,I91))</f>
        <v/>
      </c>
      <c r="K91" s="43" t="inlineStr">
        <is>
          <t>1x APS1200Wv2 @110V</t>
        </is>
      </c>
      <c r="L91" s="43" t="n"/>
    </row>
    <row r="92" ht="15" customHeight="1" s="29">
      <c r="A92" s="43" t="inlineStr">
        <is>
          <t>XSM4344C</t>
        </is>
      </c>
      <c r="B92" s="43" t="inlineStr">
        <is>
          <t>M4350-40X4C</t>
        </is>
      </c>
      <c r="C92" s="43" t="inlineStr">
        <is>
          <t>750W internal</t>
        </is>
      </c>
      <c r="D92" s="43" t="inlineStr">
        <is>
          <t>APS1200Wv2</t>
        </is>
      </c>
      <c r="E92" s="43" t="n">
        <v>1</v>
      </c>
      <c r="F92" s="43" t="inlineStr">
        <is>
          <t>220 VAC</t>
        </is>
      </c>
      <c r="G92" s="48" t="n">
        <v>1036</v>
      </c>
      <c r="H92" s="48" t="n">
        <v>796</v>
      </c>
      <c r="I92" s="48" t="n">
        <v>196</v>
      </c>
      <c r="J92" s="52">
        <f>IF(COUNT(H92,I92)=0,"",MIN(H92,I92))</f>
        <v/>
      </c>
      <c r="K92" s="43" t="inlineStr">
        <is>
          <t>1x APS1200Wv2 @220V</t>
        </is>
      </c>
      <c r="L92" s="43" t="n"/>
    </row>
    <row r="93" ht="15" customHeight="1" s="29">
      <c r="A93" s="43" t="inlineStr">
        <is>
          <t>XSM4344C</t>
        </is>
      </c>
      <c r="B93" s="43" t="inlineStr">
        <is>
          <t>M4350-40X4C</t>
        </is>
      </c>
      <c r="C93" s="43" t="inlineStr">
        <is>
          <t>750W internal</t>
        </is>
      </c>
      <c r="D93" s="43" t="inlineStr">
        <is>
          <t>APS2000Wv2</t>
        </is>
      </c>
      <c r="E93" s="43" t="n">
        <v>1</v>
      </c>
      <c r="F93" s="43" t="inlineStr">
        <is>
          <t>110 VAC</t>
        </is>
      </c>
      <c r="G93" s="48" t="n">
        <v>876</v>
      </c>
      <c r="H93" s="48" t="n">
        <v>596</v>
      </c>
      <c r="I93" s="48" t="n">
        <v>196</v>
      </c>
      <c r="J93" s="52">
        <f>IF(COUNT(H93,I93)=0,"",MIN(H93,I93))</f>
        <v/>
      </c>
      <c r="K93" s="43" t="inlineStr">
        <is>
          <t>1x APS2000Wv2 @110V</t>
        </is>
      </c>
      <c r="L93" s="43" t="n"/>
    </row>
    <row r="94" ht="15" customHeight="1" s="29">
      <c r="A94" s="43" t="inlineStr">
        <is>
          <t>XSM4344C</t>
        </is>
      </c>
      <c r="B94" s="43" t="inlineStr">
        <is>
          <t>M4350-40X4C</t>
        </is>
      </c>
      <c r="C94" s="43" t="inlineStr">
        <is>
          <t>750W internal</t>
        </is>
      </c>
      <c r="D94" s="43" t="inlineStr">
        <is>
          <t>APS2000Wv2</t>
        </is>
      </c>
      <c r="E94" s="43" t="n">
        <v>1</v>
      </c>
      <c r="F94" s="43" t="inlineStr">
        <is>
          <t>220 VAC</t>
        </is>
      </c>
      <c r="G94" s="48" t="n">
        <v>1676</v>
      </c>
      <c r="H94" s="48" t="n">
        <v>1596</v>
      </c>
      <c r="I94" s="48" t="n">
        <v>196</v>
      </c>
      <c r="J94" s="52">
        <f>IF(COUNT(H94,I94)=0,"",MIN(H94,I94))</f>
        <v/>
      </c>
      <c r="K94" s="43" t="inlineStr">
        <is>
          <t>1x APS2000Wv2 @220V</t>
        </is>
      </c>
      <c r="L94" s="43" t="n"/>
    </row>
    <row r="95" ht="15" customHeight="1" s="29">
      <c r="A95" s="43" t="inlineStr">
        <is>
          <t>XSM4344FC</t>
        </is>
      </c>
      <c r="B95" s="43" t="inlineStr">
        <is>
          <t>M4350-40F4C</t>
        </is>
      </c>
      <c r="C95" s="43" t="inlineStr">
        <is>
          <t>420W internal</t>
        </is>
      </c>
      <c r="D95" s="43" t="inlineStr">
        <is>
          <t>None</t>
        </is>
      </c>
      <c r="E95" s="43" t="n">
        <v>0</v>
      </c>
      <c r="F95" s="43" t="inlineStr">
        <is>
          <t>110-240 VAC</t>
        </is>
      </c>
      <c r="G95" s="48" t="n"/>
      <c r="H95" s="48" t="n"/>
      <c r="I95" s="48" t="n"/>
      <c r="J95" s="52">
        <f>IF(COUNT(H95,I95)=0,"",MIN(H95,I95))</f>
        <v/>
      </c>
      <c r="K95" s="43" t="inlineStr">
        <is>
          <t>Base (no module)</t>
        </is>
      </c>
      <c r="L95" s="43" t="inlineStr">
        <is>
          <t>Base budget, no redundancy</t>
        </is>
      </c>
    </row>
    <row r="96" ht="15" customHeight="1" s="29">
      <c r="A96" s="43" t="inlineStr">
        <is>
          <t>XSM4344FC</t>
        </is>
      </c>
      <c r="B96" s="43" t="inlineStr">
        <is>
          <t>M4350-40F4C</t>
        </is>
      </c>
      <c r="C96" s="43" t="inlineStr">
        <is>
          <t>420W internal</t>
        </is>
      </c>
      <c r="D96" s="43" t="inlineStr">
        <is>
          <t>APS600Wv3</t>
        </is>
      </c>
      <c r="E96" s="43" t="n">
        <v>1</v>
      </c>
      <c r="F96" s="43" t="inlineStr">
        <is>
          <t>110-240 VAC</t>
        </is>
      </c>
      <c r="G96" s="48" t="n"/>
      <c r="H96" s="48" t="n"/>
      <c r="I96" s="48" t="n"/>
      <c r="J96" s="52">
        <f>IF(COUNT(H96,I96)=0,"",MIN(H96,I96))</f>
        <v/>
      </c>
      <c r="K96" s="43" t="inlineStr">
        <is>
          <t>1x APS600Wv3</t>
        </is>
      </c>
      <c r="L96" s="43" t="n"/>
    </row>
    <row r="97" ht="15" customHeight="1" s="29">
      <c r="A97" s="43" t="inlineStr">
        <is>
          <t>XSM4344FC</t>
        </is>
      </c>
      <c r="B97" s="43" t="inlineStr">
        <is>
          <t>M4350-40F4C</t>
        </is>
      </c>
      <c r="C97" s="43" t="inlineStr">
        <is>
          <t>420W internal</t>
        </is>
      </c>
      <c r="D97" s="43" t="inlineStr">
        <is>
          <t>APS1200Wv2</t>
        </is>
      </c>
      <c r="E97" s="43" t="n">
        <v>1</v>
      </c>
      <c r="F97" s="43" t="inlineStr">
        <is>
          <t>110 VAC</t>
        </is>
      </c>
      <c r="G97" s="48" t="n"/>
      <c r="H97" s="48" t="n"/>
      <c r="I97" s="48" t="n"/>
      <c r="J97" s="52">
        <f>IF(COUNT(H97,I97)=0,"",MIN(H97,I97))</f>
        <v/>
      </c>
      <c r="K97" s="43" t="inlineStr">
        <is>
          <t>1x APS1200Wv2 @110V</t>
        </is>
      </c>
      <c r="L97" s="43" t="n"/>
    </row>
    <row r="98" ht="15" customHeight="1" s="29">
      <c r="A98" s="43" t="inlineStr">
        <is>
          <t>XSM4344FC</t>
        </is>
      </c>
      <c r="B98" s="43" t="inlineStr">
        <is>
          <t>M4350-40F4C</t>
        </is>
      </c>
      <c r="C98" s="43" t="inlineStr">
        <is>
          <t>420W internal</t>
        </is>
      </c>
      <c r="D98" s="43" t="inlineStr">
        <is>
          <t>APS1200Wv2</t>
        </is>
      </c>
      <c r="E98" s="43" t="n">
        <v>1</v>
      </c>
      <c r="F98" s="43" t="inlineStr">
        <is>
          <t>220 VAC</t>
        </is>
      </c>
      <c r="G98" s="48" t="n"/>
      <c r="H98" s="48" t="n"/>
      <c r="I98" s="48" t="n"/>
      <c r="J98" s="52">
        <f>IF(COUNT(H98,I98)=0,"",MIN(H98,I98))</f>
        <v/>
      </c>
      <c r="K98" s="43" t="inlineStr">
        <is>
          <t>1x APS1200Wv2 @220V</t>
        </is>
      </c>
      <c r="L98" s="43" t="n"/>
    </row>
    <row r="99" ht="15" customHeight="1" s="29">
      <c r="A99" s="43" t="inlineStr">
        <is>
          <t>XSM4344FC</t>
        </is>
      </c>
      <c r="B99" s="43" t="inlineStr">
        <is>
          <t>M4350-40F4C</t>
        </is>
      </c>
      <c r="C99" s="43" t="inlineStr">
        <is>
          <t>420W internal</t>
        </is>
      </c>
      <c r="D99" s="43" t="inlineStr">
        <is>
          <t>APS2000Wv2</t>
        </is>
      </c>
      <c r="E99" s="43" t="n">
        <v>1</v>
      </c>
      <c r="F99" s="43" t="inlineStr">
        <is>
          <t>110 VAC</t>
        </is>
      </c>
      <c r="G99" s="48" t="n"/>
      <c r="H99" s="48" t="n"/>
      <c r="I99" s="48" t="n"/>
      <c r="J99" s="52">
        <f>IF(COUNT(H99,I99)=0,"",MIN(H99,I99))</f>
        <v/>
      </c>
      <c r="K99" s="43" t="inlineStr">
        <is>
          <t>1x APS2000Wv2 @110V</t>
        </is>
      </c>
      <c r="L99" s="43" t="n"/>
    </row>
    <row r="100" ht="15" customHeight="1" s="29">
      <c r="A100" s="43" t="inlineStr">
        <is>
          <t>XSM4344FC</t>
        </is>
      </c>
      <c r="B100" s="43" t="inlineStr">
        <is>
          <t>M4350-40F4C</t>
        </is>
      </c>
      <c r="C100" s="43" t="inlineStr">
        <is>
          <t>420W internal</t>
        </is>
      </c>
      <c r="D100" s="43" t="inlineStr">
        <is>
          <t>APS2000Wv2</t>
        </is>
      </c>
      <c r="E100" s="43" t="n">
        <v>1</v>
      </c>
      <c r="F100" s="43" t="inlineStr">
        <is>
          <t>220 VAC</t>
        </is>
      </c>
      <c r="G100" s="48" t="n"/>
      <c r="H100" s="48" t="n"/>
      <c r="I100" s="48" t="n"/>
      <c r="J100" s="50">
        <f>IF(COUNT(H100,I100)=0,"",MIN(H100,I100))</f>
        <v/>
      </c>
      <c r="K100" s="43" t="inlineStr">
        <is>
          <t>1x APS2000Wv2 @220V</t>
        </is>
      </c>
      <c r="L100" s="43" t="n"/>
    </row>
    <row r="101" ht="15" customHeight="1" s="29">
      <c r="A101" s="43" t="inlineStr">
        <is>
          <t>GSM4230UP</t>
        </is>
      </c>
      <c r="B101" s="43" t="inlineStr">
        <is>
          <t>M4250-26G4F-PoE++</t>
        </is>
      </c>
      <c r="C101" s="43" t="inlineStr">
        <is>
          <t>2x internal</t>
        </is>
      </c>
      <c r="D101" s="43" t="inlineStr">
        <is>
          <t>(internal PSUs)</t>
        </is>
      </c>
      <c r="E101" s="43" t="n">
        <v>1</v>
      </c>
      <c r="F101" s="43" t="inlineStr">
        <is>
          <t>110 VAC</t>
        </is>
      </c>
      <c r="G101" s="48" t="n">
        <v>720</v>
      </c>
      <c r="H101" s="48" t="n"/>
      <c r="I101" s="48" t="n"/>
      <c r="J101" s="50">
        <f>IF(COUNT(H101,I101)=0,"",MIN(H101,I101))</f>
        <v/>
      </c>
      <c r="K101" s="43" t="inlineStr">
        <is>
          <t>1 of 2 PSUs powered</t>
        </is>
      </c>
      <c r="L101" s="43" t="inlineStr">
        <is>
          <t>No redundancy</t>
        </is>
      </c>
    </row>
    <row r="102" ht="15" customHeight="1" s="29">
      <c r="A102" s="43" t="inlineStr">
        <is>
          <t>GSM4230UP</t>
        </is>
      </c>
      <c r="B102" s="43" t="inlineStr">
        <is>
          <t>M4250-26G4F-PoE++</t>
        </is>
      </c>
      <c r="C102" s="43" t="inlineStr">
        <is>
          <t>2x internal</t>
        </is>
      </c>
      <c r="D102" s="43" t="inlineStr">
        <is>
          <t>(internal PSUs)</t>
        </is>
      </c>
      <c r="E102" s="43" t="n">
        <v>2</v>
      </c>
      <c r="F102" s="43" t="inlineStr">
        <is>
          <t>110 VAC</t>
        </is>
      </c>
      <c r="G102" s="48" t="n">
        <v>1440</v>
      </c>
      <c r="H102" s="48" t="n"/>
      <c r="I102" s="48" t="n">
        <v>720</v>
      </c>
      <c r="J102" s="50">
        <f>IF(COUNT(H102,I102)=0,"",MIN(H102,I102))</f>
        <v/>
      </c>
      <c r="K102" s="43" t="inlineStr">
        <is>
          <t>2 of 2 PSUs powered</t>
        </is>
      </c>
      <c r="L102" s="43" t="inlineStr">
        <is>
          <t>N-1 = 1-PSU budget</t>
        </is>
      </c>
    </row>
    <row r="103" ht="15" customHeight="1" s="29">
      <c r="A103" s="43" t="inlineStr">
        <is>
          <t>GSM4248UX</t>
        </is>
      </c>
      <c r="B103" s="43" t="inlineStr">
        <is>
          <t>M4250-40G8XF-PoE++</t>
        </is>
      </c>
      <c r="C103" s="43" t="inlineStr">
        <is>
          <t>3x internal</t>
        </is>
      </c>
      <c r="D103" s="43" t="inlineStr">
        <is>
          <t>(internal PSUs)</t>
        </is>
      </c>
      <c r="E103" s="43" t="n">
        <v>1</v>
      </c>
      <c r="F103" s="43" t="inlineStr">
        <is>
          <t>110 VAC</t>
        </is>
      </c>
      <c r="G103" s="48" t="n">
        <v>720</v>
      </c>
      <c r="H103" s="48" t="n"/>
      <c r="I103" s="48" t="n"/>
      <c r="J103" s="50">
        <f>IF(COUNT(H103,I103)=0,"",MIN(H103,I103))</f>
        <v/>
      </c>
      <c r="K103" s="43" t="inlineStr">
        <is>
          <t>1 of 3 PSUs powered</t>
        </is>
      </c>
      <c r="L103" s="43" t="inlineStr">
        <is>
          <t>No redundancy</t>
        </is>
      </c>
    </row>
    <row r="104" ht="15" customHeight="1" s="29">
      <c r="A104" s="43" t="inlineStr">
        <is>
          <t>GSM4248UX</t>
        </is>
      </c>
      <c r="B104" s="43" t="inlineStr">
        <is>
          <t>M4250-40G8XF-PoE++</t>
        </is>
      </c>
      <c r="C104" s="43" t="inlineStr">
        <is>
          <t>3x internal</t>
        </is>
      </c>
      <c r="D104" s="43" t="inlineStr">
        <is>
          <t>(internal PSUs)</t>
        </is>
      </c>
      <c r="E104" s="43" t="n">
        <v>2</v>
      </c>
      <c r="F104" s="43" t="inlineStr">
        <is>
          <t>110 VAC</t>
        </is>
      </c>
      <c r="G104" s="48" t="n">
        <v>1650</v>
      </c>
      <c r="H104" s="48" t="n"/>
      <c r="I104" s="48" t="n">
        <v>720</v>
      </c>
      <c r="J104" s="50">
        <f>IF(COUNT(H104,I104)=0,"",MIN(H104,I104))</f>
        <v/>
      </c>
      <c r="K104" s="43" t="inlineStr">
        <is>
          <t>2 of 3 PSUs powered</t>
        </is>
      </c>
      <c r="L104" s="43" t="inlineStr">
        <is>
          <t>N-1 = 1-PSU budget</t>
        </is>
      </c>
    </row>
    <row r="105" ht="15" customHeight="1" s="29">
      <c r="A105" s="43" t="inlineStr">
        <is>
          <t>GSM4248UX</t>
        </is>
      </c>
      <c r="B105" s="43" t="inlineStr">
        <is>
          <t>M4250-40G8XF-PoE++</t>
        </is>
      </c>
      <c r="C105" s="43" t="inlineStr">
        <is>
          <t>3x internal</t>
        </is>
      </c>
      <c r="D105" s="43" t="inlineStr">
        <is>
          <t>(internal PSUs)</t>
        </is>
      </c>
      <c r="E105" s="43" t="n">
        <v>3</v>
      </c>
      <c r="F105" s="43" t="inlineStr">
        <is>
          <t>110 VAC</t>
        </is>
      </c>
      <c r="G105" s="48" t="n">
        <v>2880</v>
      </c>
      <c r="H105" s="48" t="n"/>
      <c r="I105" s="48" t="n">
        <v>1650</v>
      </c>
      <c r="J105" s="50">
        <f>IF(COUNT(H105,I105)=0,"",MIN(H105,I105))</f>
        <v/>
      </c>
      <c r="K105" s="43" t="inlineStr">
        <is>
          <t>3 of 3 PSUs powered</t>
        </is>
      </c>
      <c r="L105" s="43" t="inlineStr">
        <is>
          <t>N-1 = 2-PSU budget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2" customWidth="1" style="28" min="2" max="2"/>
    <col width="11" customWidth="1" style="28" min="3" max="3"/>
    <col width="60" customWidth="1" style="28" min="4" max="4"/>
    <col width="50" customWidth="1" style="28" min="5" max="5"/>
    <col width="30" customWidth="1" style="28" min="6" max="6"/>
  </cols>
  <sheetData>
    <row r="1" ht="30" customHeight="1" s="29">
      <c r="A1" s="30" t="inlineStr">
        <is>
          <t>Design Rules &amp; Constraints for the BoM Engine</t>
        </is>
      </c>
    </row>
    <row r="2" ht="15" customHeight="1" s="29">
      <c r="A2" s="31" t="inlineStr">
        <is>
          <t>Encode these as validation logic in the tool. Add a row whenever a datasheet footnote changes what can be ordered.</t>
        </is>
      </c>
    </row>
    <row r="4" ht="31.5" customHeight="1" s="29">
      <c r="A4" s="42" t="inlineStr">
        <is>
          <t>Rule_ID</t>
        </is>
      </c>
      <c r="B4" s="42" t="inlineStr">
        <is>
          <t>Applies_To</t>
        </is>
      </c>
      <c r="C4" s="42" t="inlineStr">
        <is>
          <t>Area</t>
        </is>
      </c>
      <c r="D4" s="42" t="inlineStr">
        <is>
          <t>Rule</t>
        </is>
      </c>
      <c r="E4" s="42" t="inlineStr">
        <is>
          <t>BoM_Impact</t>
        </is>
      </c>
      <c r="F4" s="42" t="inlineStr">
        <is>
          <t>Source</t>
        </is>
      </c>
    </row>
    <row r="5" ht="46.25" customHeight="1" s="29">
      <c r="A5" s="43" t="inlineStr">
        <is>
          <t>R01</t>
        </is>
      </c>
      <c r="B5" s="43" t="inlineStr">
        <is>
          <t>M4350 (all)</t>
        </is>
      </c>
      <c r="C5" s="43" t="inlineStr">
        <is>
          <t>Ports</t>
        </is>
      </c>
      <c r="D5" s="51" t="inlineStr">
        <is>
          <t>Each 4x25G SFP28 block runs at one speed (4x1G / 4x10G / 4x25G). A single 25G optic forces the block to 25G and drops 10G/1G optics in that block.</t>
        </is>
      </c>
      <c r="E5" s="51" t="inlineStr">
        <is>
          <t>Group uplink optics per 4-port block; never mix 25G and 10G in one block.</t>
        </is>
      </c>
      <c r="F5" s="51" t="inlineStr">
        <is>
          <t>M4350 datasheet DS-M4350-30May25 (fw 14.0) [file: M3450_Datasheet_30May25.pdf]</t>
        </is>
      </c>
    </row>
    <row r="6" ht="46.25" customHeight="1" s="29">
      <c r="A6" s="43" t="inlineStr">
        <is>
          <t>R02</t>
        </is>
      </c>
      <c r="B6" s="43" t="inlineStr">
        <is>
          <t>M4350 (all)</t>
        </is>
      </c>
      <c r="C6" s="43" t="inlineStr">
        <is>
          <t>Stacking</t>
        </is>
      </c>
      <c r="D6" s="51" t="inlineStr">
        <is>
          <t>Stack links run only at the port's highest speed (25G on SFP28, 100G on QSFP28). Up to 8 units, NSF/hitless failover.</t>
        </is>
      </c>
      <c r="E6" s="43" t="inlineStr">
        <is>
          <t>Stack cables/optics must be 25G or 100G.</t>
        </is>
      </c>
      <c r="F6" s="51" t="inlineStr">
        <is>
          <t>M4350 datasheet DS-M4350-30May25 (fw 14.0) [file: M3450_Datasheet_30May25.pdf]</t>
        </is>
      </c>
    </row>
    <row r="7" ht="46.25" customHeight="1" s="29">
      <c r="A7" s="43" t="inlineStr">
        <is>
          <t>R03</t>
        </is>
      </c>
      <c r="B7" s="43" t="inlineStr">
        <is>
          <t>M4350 (all)</t>
        </is>
      </c>
      <c r="C7" s="43" t="inlineStr">
        <is>
          <t>Features</t>
        </is>
      </c>
      <c r="D7" s="51" t="inlineStr">
        <is>
          <t>Stacking, AVB and PTP TC/BC/GM are mutually exclusive.</t>
        </is>
      </c>
      <c r="E7" s="51" t="inlineStr">
        <is>
          <t>If AVB or PTP (ST 2110/AES67 BC) is required, do not propose a stack; use LAG/MLAG-style design.</t>
        </is>
      </c>
      <c r="F7" s="51" t="inlineStr">
        <is>
          <t>M4350 datasheet DS-M4350-30May25 (fw 14.0) [file: M3450_Datasheet_30May25.pdf]</t>
        </is>
      </c>
    </row>
    <row r="8" ht="23.85" customHeight="1" s="29">
      <c r="A8" s="43" t="inlineStr">
        <is>
          <t>R04</t>
        </is>
      </c>
      <c r="B8" s="43" t="inlineStr">
        <is>
          <t>M4250 (all)</t>
        </is>
      </c>
      <c r="C8" s="43" t="inlineStr">
        <is>
          <t>Features</t>
        </is>
      </c>
      <c r="D8" s="51" t="inlineStr">
        <is>
          <t>AVB is not supported on a LAG. Max 256 AVB streams per switch.</t>
        </is>
      </c>
      <c r="E8" s="51" t="inlineStr">
        <is>
          <t>AVB designs need single uplinks or MSTP, not LAG.</t>
        </is>
      </c>
      <c r="F8" s="51" t="inlineStr">
        <is>
          <t>M4250 datasheet DS-M4250-9Nov23 (fw 13.0.4)</t>
        </is>
      </c>
    </row>
    <row r="9" ht="46.25" customHeight="1" s="29">
      <c r="A9" s="43" t="inlineStr">
        <is>
          <t>R05</t>
        </is>
      </c>
      <c r="B9" s="43" t="inlineStr">
        <is>
          <t>M4350 full width</t>
        </is>
      </c>
      <c r="C9" s="43" t="inlineStr">
        <is>
          <t>Power</t>
        </is>
      </c>
      <c r="D9" s="51" t="inlineStr">
        <is>
          <t>RPS+EPS work simultaneously: total budget (EPS) and protected budget (internal PSU failed) depend on PSU model, quantity and input voltage.</t>
        </is>
      </c>
      <c r="E9" s="51" t="inlineStr">
        <is>
          <t>When redundancy is required, size PoE to PoE_Budget_Protected_W (worst of internal-PSU or module failure), not the EPS total.</t>
        </is>
      </c>
      <c r="F9" s="51" t="inlineStr">
        <is>
          <t>M4350 datasheet DS-M4350-30May25 (fw 14.0) [file: M3450_Datasheet_30May25.pdf]</t>
        </is>
      </c>
    </row>
    <row r="10" ht="46.25" customHeight="1" s="29">
      <c r="A10" s="43" t="inlineStr">
        <is>
          <t>R06</t>
        </is>
      </c>
      <c r="B10" s="43" t="inlineStr">
        <is>
          <t>M4350</t>
        </is>
      </c>
      <c r="C10" s="43" t="inlineStr">
        <is>
          <t>Power</t>
        </is>
      </c>
      <c r="D10" s="51" t="inlineStr">
        <is>
          <t>Two PSU groups: A (APS350W/600Wv2/920W/2000W) and B (APS600Wv3/1200Wv2/2000Wv2) are model-specific.</t>
        </is>
      </c>
      <c r="E10" s="51" t="inlineStr">
        <is>
          <t>Only offer PSUs listed in Compatibility for the chosen model.</t>
        </is>
      </c>
      <c r="F10" s="51" t="inlineStr">
        <is>
          <t>M4350 datasheet DS-M4350-30May25 (fw 14.0) [file: M3450_Datasheet_30May25.pdf]</t>
        </is>
      </c>
    </row>
    <row r="11" ht="46.25" customHeight="1" s="29">
      <c r="A11" s="43" t="inlineStr">
        <is>
          <t>R07</t>
        </is>
      </c>
      <c r="B11" s="43" t="inlineStr">
        <is>
          <t>APS2000W / APS2000Wv2</t>
        </is>
      </c>
      <c r="C11" s="43" t="inlineStr">
        <is>
          <t>Power</t>
        </is>
      </c>
      <c r="D11" s="51" t="inlineStr">
        <is>
          <t>Output is 1,000W at 110VAC and 2,000W at 220VAC.</t>
        </is>
      </c>
      <c r="E11" s="51" t="inlineStr">
        <is>
          <t>Ask for site input voltage before sizing high PoE budgets.</t>
        </is>
      </c>
      <c r="F11" s="51" t="inlineStr">
        <is>
          <t>M4350 datasheet DS-M4350-30May25 (fw 14.0) [file: M3450_Datasheet_30May25.pdf]</t>
        </is>
      </c>
    </row>
    <row r="12" ht="23.85" customHeight="1" s="29">
      <c r="A12" s="43" t="inlineStr">
        <is>
          <t>R08</t>
        </is>
      </c>
      <c r="B12" s="43" t="inlineStr">
        <is>
          <t>M4250-26G4F-PoE++ / 40G8XF-PoE++</t>
        </is>
      </c>
      <c r="C12" s="43" t="inlineStr">
        <is>
          <t>Power</t>
        </is>
      </c>
      <c r="D12" s="51" t="inlineStr">
        <is>
          <t>PoE budget scales with number of powered internal PSUs (720 / 1,440W; 720 / 1,650 / 2,880W).</t>
        </is>
      </c>
      <c r="E12" s="51" t="inlineStr">
        <is>
          <t>Budget = f(PSUs powered). Redundancy reduces usable budget.</t>
        </is>
      </c>
      <c r="F12" s="51" t="inlineStr">
        <is>
          <t>M4250 datasheet DS-M4250-9Nov23 (fw 13.0.4)</t>
        </is>
      </c>
    </row>
    <row r="13" ht="23.85" customHeight="1" s="29">
      <c r="A13" s="43" t="inlineStr">
        <is>
          <t>R09</t>
        </is>
      </c>
      <c r="B13" s="43" t="inlineStr">
        <is>
          <t>M4250 / M4350</t>
        </is>
      </c>
      <c r="C13" s="43" t="inlineStr">
        <is>
          <t>PoE</t>
        </is>
      </c>
      <c r="D13" s="51" t="inlineStr">
        <is>
          <t>PoE+ ports: max 30W/port; Ultra90 PoE++ ports: 15.4/30/60/75/90W classes.</t>
        </is>
      </c>
      <c r="E13" s="51" t="inlineStr">
        <is>
          <t>Match endpoint class to port type; 60-90W endpoints need Ultra90 models.</t>
        </is>
      </c>
      <c r="F13" s="43" t="inlineStr">
        <is>
          <t>M4250 + M4350 datasheets</t>
        </is>
      </c>
    </row>
    <row r="14" ht="23.85" customHeight="1" s="29">
      <c r="A14" s="43" t="inlineStr">
        <is>
          <t>R10</t>
        </is>
      </c>
      <c r="B14" s="43" t="inlineStr">
        <is>
          <t>M4250-16XF</t>
        </is>
      </c>
      <c r="C14" s="43" t="inlineStr">
        <is>
          <t>Ports</t>
        </is>
      </c>
      <c r="D14" s="51" t="inlineStr">
        <is>
          <t>1G SFP / AGM734 supported on ports 1-12 only.</t>
        </is>
      </c>
      <c r="E14" s="51" t="inlineStr">
        <is>
          <t>1G endpoints/uplinks limited to 12 per switch.</t>
        </is>
      </c>
      <c r="F14" s="51" t="inlineStr">
        <is>
          <t>M4250 datasheet DS-M4250-9Nov23 (fw 13.0.4)</t>
        </is>
      </c>
    </row>
    <row r="15" ht="46.25" customHeight="1" s="29">
      <c r="A15" s="43" t="inlineStr">
        <is>
          <t>R11</t>
        </is>
      </c>
      <c r="B15" s="43" t="inlineStr">
        <is>
          <t>M4350 multi-gig models</t>
        </is>
      </c>
      <c r="C15" s="43" t="inlineStr">
        <is>
          <t>Ports</t>
        </is>
      </c>
      <c r="D15" s="51" t="inlineStr">
        <is>
          <t>100M support limited: see Port_Notes (e.g. 24X4V ports 1-16 only, 40X4C none, 10G ports on M4X4V none).</t>
        </is>
      </c>
      <c r="E15" s="51" t="inlineStr">
        <is>
          <t>Legacy 100M AV/control devices must land on supported ports.</t>
        </is>
      </c>
      <c r="F15" s="51" t="inlineStr">
        <is>
          <t>M4350 datasheet DS-M4350-30May25 (fw 14.0) [file: M3450_Datasheet_30May25.pdf]</t>
        </is>
      </c>
    </row>
    <row r="16" ht="23.85" customHeight="1" s="29">
      <c r="A16" s="43" t="inlineStr">
        <is>
          <t>R12</t>
        </is>
      </c>
      <c r="B16" s="43" t="inlineStr">
        <is>
          <t>PR460X</t>
        </is>
      </c>
      <c r="C16" s="43" t="inlineStr">
        <is>
          <t>Management</t>
        </is>
      </c>
      <c r="D16" s="51" t="inlineStr">
        <is>
          <t>Managed by Insight OR Engage, not both. Exium security license only via Insight.</t>
        </is>
      </c>
      <c r="E16" s="51" t="inlineStr">
        <is>
          <t>If AV design uses Engage, no Exium license line.</t>
        </is>
      </c>
      <c r="F16" s="43" t="inlineStr">
        <is>
          <t>PR460X datasheet NG_DS_AV_PR460X-042926</t>
        </is>
      </c>
    </row>
    <row r="17" ht="15" customHeight="1" s="29">
      <c r="A17" s="43" t="inlineStr">
        <is>
          <t>R13</t>
        </is>
      </c>
      <c r="B17" s="43" t="inlineStr">
        <is>
          <t>PR460X</t>
        </is>
      </c>
      <c r="C17" s="43" t="inlineStr">
        <is>
          <t>Capacity</t>
        </is>
      </c>
      <c r="D17" s="51" t="inlineStr">
        <is>
          <t>32 VLANs / 32 DHCP servers max; 2,000 clients.</t>
        </is>
      </c>
      <c r="E17" s="43" t="inlineStr">
        <is>
          <t>Flag designs with &gt;32 VLANs/AV profiles.</t>
        </is>
      </c>
      <c r="F17" s="43" t="inlineStr">
        <is>
          <t>PR460X datasheet NG_DS_AV_PR460X-042926</t>
        </is>
      </c>
    </row>
    <row r="18" ht="23.85" customHeight="1" s="29">
      <c r="A18" s="43" t="inlineStr">
        <is>
          <t>R14</t>
        </is>
      </c>
      <c r="B18" s="43" t="inlineStr">
        <is>
          <t>WBE718</t>
        </is>
      </c>
      <c r="C18" s="43" t="inlineStr">
        <is>
          <t>PoE</t>
        </is>
      </c>
      <c r="D18" s="51" t="inlineStr">
        <is>
          <t>PD draw 25W; 802.3at required for full performance (802.3af reduces throughput, disables 6GHz). 2.5G uplink.</t>
        </is>
      </c>
      <c r="E18" s="43" t="inlineStr">
        <is>
          <t>Needs PoE+ port; 2.5G port recommended.</t>
        </is>
      </c>
      <c r="F18" s="43" t="inlineStr">
        <is>
          <t>WBE718 datasheet DS-WBE718_02Apr26</t>
        </is>
      </c>
    </row>
    <row r="19" ht="35.05" customHeight="1" s="29">
      <c r="A19" s="43" t="inlineStr">
        <is>
          <t>R15</t>
        </is>
      </c>
      <c r="B19" s="43" t="inlineStr">
        <is>
          <t>WBE758</t>
        </is>
      </c>
      <c r="C19" s="43" t="inlineStr">
        <is>
          <t>PoE</t>
        </is>
      </c>
      <c r="D19" s="51" t="inlineStr">
        <is>
          <t>PD draw 39W; 802.3bt for full performance (802.3at reduces throughput; 802.3af unsupported). 10G uplink.</t>
        </is>
      </c>
      <c r="E19" s="51" t="inlineStr">
        <is>
          <t>Needs Ultra90/PoE++ port; 10G multi-gig port recommended (e.g. M4350-36X4V / 40X4C / 24X8F8V).</t>
        </is>
      </c>
      <c r="F19" s="43" t="inlineStr">
        <is>
          <t>WBE758 datasheet D-WBE758_29Jan24</t>
        </is>
      </c>
    </row>
    <row r="20" ht="46.25" customHeight="1" s="29">
      <c r="A20" s="43" t="inlineStr">
        <is>
          <t>R16</t>
        </is>
      </c>
      <c r="B20" s="43" t="inlineStr">
        <is>
          <t>M4350-8M2V</t>
        </is>
      </c>
      <c r="C20" s="43" t="inlineStr">
        <is>
          <t>Power</t>
        </is>
      </c>
      <c r="D20" s="51" t="inlineStr">
        <is>
          <t>Ships with 1x APS254W (119W). 2 more adapters: 322W (2 total) / 551W (3 total); redundant 119W (1+1) or 322W (2+1).</t>
        </is>
      </c>
      <c r="E20" s="51" t="inlineStr">
        <is>
          <t>Add APS254W qty per PoE need; optional PST4310 tray.</t>
        </is>
      </c>
      <c r="F20" s="51" t="inlineStr">
        <is>
          <t>M4350 datasheet DS-M4350-30May25 (fw 14.0) [file: M3450_Datasheet_30May25.pdf]</t>
        </is>
      </c>
    </row>
    <row r="21" ht="23.85" customHeight="1" s="29">
      <c r="A21" s="43" t="inlineStr">
        <is>
          <t>R17</t>
        </is>
      </c>
      <c r="B21" s="43" t="inlineStr">
        <is>
          <t>All switches</t>
        </is>
      </c>
      <c r="C21" s="43" t="inlineStr">
        <is>
          <t>Environment</t>
        </is>
      </c>
      <c r="D21" s="51" t="inlineStr">
        <is>
          <t>Operating max: 45C PoE models, 50C non-PoE (M4250 12M2XF/16XF, M4350 non-PoE).</t>
        </is>
      </c>
      <c r="E21" s="51" t="inlineStr">
        <is>
          <t>Check rack ambient for closet/IDF installs.</t>
        </is>
      </c>
      <c r="F21" s="43" t="inlineStr">
        <is>
          <t>M4250 + M4350 datasheets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8" min="1" max="1"/>
    <col width="60" customWidth="1" style="28" min="2" max="2"/>
  </cols>
  <sheetData>
    <row r="1" ht="30" customHeight="1" s="29">
      <c r="A1" s="30" t="inlineStr">
        <is>
          <t>Quick Model Lookup (example of how the tool reads the catalog)</t>
        </is>
      </c>
    </row>
    <row r="2" ht="15" customHeight="1" s="29">
      <c r="A2" s="31" t="inlineStr">
        <is>
          <t>Pick a Product_ID in the yellow cell. All values below are formulas against the tables.</t>
        </is>
      </c>
    </row>
    <row r="4" ht="15" customHeight="1" s="29">
      <c r="A4" s="38" t="inlineStr">
        <is>
          <t>Product_ID</t>
        </is>
      </c>
      <c r="B4" s="53" t="inlineStr">
        <is>
          <t>XSM4340CV</t>
        </is>
      </c>
    </row>
    <row r="5" ht="15" customHeight="1" s="29">
      <c r="A5" s="54" t="inlineStr">
        <is>
          <t>Attribute</t>
        </is>
      </c>
      <c r="B5" s="54" t="inlineStr">
        <is>
          <t>Value</t>
        </is>
      </c>
    </row>
    <row r="6" ht="15" customHeight="1" s="29">
      <c r="A6" s="39" t="inlineStr">
        <is>
          <t>Model_Name</t>
        </is>
      </c>
      <c r="B6" s="55">
        <f>IFERROR(INDEX(Products!$B$5:$B$500,MATCH($B$4,Products!$A$5:$A$500,0)),"")</f>
        <v/>
      </c>
    </row>
    <row r="7" ht="15" customHeight="1" s="29">
      <c r="A7" s="39" t="inlineStr">
        <is>
          <t>Family</t>
        </is>
      </c>
      <c r="B7" s="55">
        <f>IFERROR(INDEX(Products!$C$5:$C$500,MATCH($B$4,Products!$A$5:$A$500,0)),"")</f>
        <v/>
      </c>
    </row>
    <row r="8" ht="15" customHeight="1" s="29">
      <c r="A8" s="39" t="inlineStr">
        <is>
          <t>Category</t>
        </is>
      </c>
      <c r="B8" s="55">
        <f>IFERROR(INDEX(Products!$E$5:$E$500,MATCH($B$4,Products!$A$5:$A$500,0)),"")</f>
        <v/>
      </c>
    </row>
    <row r="9" ht="15" customHeight="1" s="29">
      <c r="A9" s="39" t="inlineStr">
        <is>
          <t>Form_Factor</t>
        </is>
      </c>
      <c r="B9" s="55">
        <f>IFERROR(INDEX(Products!$L$5:$L$500,MATCH($B$4,Products!$A$5:$A$500,0)),"")</f>
        <v/>
      </c>
    </row>
    <row r="10" ht="15" customHeight="1" s="29">
      <c r="A10" s="39" t="inlineStr">
        <is>
          <t>Width_Class</t>
        </is>
      </c>
      <c r="B10" s="55">
        <f>IFERROR(INDEX(Products!$N$5:$N$500,MATCH($B$4,Products!$A$5:$A$500,0)),"")</f>
        <v/>
      </c>
    </row>
    <row r="11" ht="15" customHeight="1" s="29">
      <c r="A11" s="39" t="inlineStr">
        <is>
          <t>Total_Ports</t>
        </is>
      </c>
      <c r="B11" s="55">
        <f>IFERROR(INDEX(Products!$AF$5:$AF$500,MATCH($B$4,Products!$A$5:$A$500,0)),"")</f>
        <v/>
      </c>
    </row>
    <row r="12" ht="15" customHeight="1" s="29">
      <c r="A12" s="39" t="inlineStr">
        <is>
          <t>PoE_Standard</t>
        </is>
      </c>
      <c r="B12" s="55">
        <f>IFERROR(INDEX(Products!$AJ$5:$AJ$500,MATCH($B$4,Products!$A$5:$A$500,0)),"")</f>
        <v/>
      </c>
    </row>
    <row r="13" ht="15" customHeight="1" s="29">
      <c r="A13" s="39" t="inlineStr">
        <is>
          <t>PoE_Ports</t>
        </is>
      </c>
      <c r="B13" s="55">
        <f>IFERROR(INDEX(Products!$AI$5:$AI$500,MATCH($B$4,Products!$A$5:$A$500,0)),"")</f>
        <v/>
      </c>
    </row>
    <row r="14" ht="15" customHeight="1" s="29">
      <c r="A14" s="39" t="inlineStr">
        <is>
          <t>PoE_Budget_Base_W</t>
        </is>
      </c>
      <c r="B14" s="56">
        <f>IFERROR(INDEX(Products!$AL$5:$AL$500,MATCH($B$4,Products!$A$5:$A$500,0)),"")</f>
        <v/>
      </c>
    </row>
    <row r="15" ht="15" customHeight="1" s="29">
      <c r="A15" s="39" t="inlineStr">
        <is>
          <t>PoE_Budget_Max_W</t>
        </is>
      </c>
      <c r="B15" s="56">
        <f>IFERROR(INDEX(Products!$AM$5:$AM$500,MATCH($B$4,Products!$A$5:$A$500,0)),"")</f>
        <v/>
      </c>
    </row>
    <row r="16" ht="15" customHeight="1" s="29">
      <c r="A16" s="39" t="inlineStr">
        <is>
          <t>PoE_Budget_Redundant_Max_W</t>
        </is>
      </c>
      <c r="B16" s="55">
        <f>IFERROR(INDEX(Products!$AN$5:$AN$500,MATCH($B$4,Products!$A$5:$A$500,0)),"")</f>
        <v/>
      </c>
    </row>
    <row r="17" ht="15" customHeight="1" s="29">
      <c r="A17" s="39" t="inlineStr">
        <is>
          <t>PSU_Compat_Group</t>
        </is>
      </c>
      <c r="B17" s="55">
        <f>IFERROR(INDEX(Products!$AW$5:$AW$500,MATCH($B$4,Products!$A$5:$A$500,0)),"")</f>
        <v/>
      </c>
    </row>
    <row r="18" ht="15" customHeight="1" s="29">
      <c r="A18" s="39" t="inlineStr">
        <is>
          <t>Power_Max_FullPoE_W</t>
        </is>
      </c>
      <c r="B18" s="55">
        <f>IFERROR(INDEX(Products!$AZ$5:$AZ$500,MATCH($B$4,Products!$A$5:$A$500,0)),"")</f>
        <v/>
      </c>
    </row>
    <row r="19" ht="15" customHeight="1" s="29">
      <c r="A19" s="39" t="inlineStr">
        <is>
          <t>Heat_Max_BTU_hr</t>
        </is>
      </c>
      <c r="B19" s="56">
        <f>IFERROR(INDEX(Products!$BA$5:$BA$500,MATCH($B$4,Products!$A$5:$A$500,0)),"")</f>
        <v/>
      </c>
    </row>
    <row r="20" ht="15" customHeight="1" s="29">
      <c r="A20" s="39" t="inlineStr">
        <is>
          <t>Switching_Fabric_Gbps</t>
        </is>
      </c>
      <c r="B20" s="56">
        <f>IFERROR(INDEX(Products!$BB$5:$BB$500,MATCH($B$4,Products!$A$5:$A$500,0)),"")</f>
        <v/>
      </c>
    </row>
    <row r="21" ht="15" customHeight="1" s="29">
      <c r="A21" s="39" t="inlineStr">
        <is>
          <t>Stacking</t>
        </is>
      </c>
      <c r="B21" s="55">
        <f>IFERROR(INDEX(Products!$BL$5:$BL$500,MATCH($B$4,Products!$A$5:$A$500,0)),"")</f>
        <v/>
      </c>
    </row>
    <row r="22" ht="15" customHeight="1" s="29">
      <c r="A22" s="39" t="inlineStr">
        <is>
          <t>SMPTE_ST2110</t>
        </is>
      </c>
      <c r="B22" s="55">
        <f>IFERROR(INDEX(Products!$BP$5:$BP$500,MATCH($B$4,Products!$A$5:$A$500,0)),"")</f>
        <v/>
      </c>
    </row>
    <row r="23" ht="15" customHeight="1" s="29">
      <c r="A23" s="39" t="inlineStr">
        <is>
          <t>PTP</t>
        </is>
      </c>
      <c r="B23" s="55">
        <f>IFERROR(INDEX(Products!$BO$5:$BO$500,MATCH($B$4,Products!$A$5:$A$500,0)),"")</f>
        <v/>
      </c>
    </row>
    <row r="24" ht="15" customHeight="1" s="29">
      <c r="A24" s="39" t="inlineStr">
        <is>
          <t>Port_Speed_Constraints</t>
        </is>
      </c>
      <c r="B24" s="55">
        <f>IFERROR(INDEX(Products!$AH$5:$AH$500,MATCH($B$4,Products!$A$5:$A$500,0)),"")</f>
        <v/>
      </c>
    </row>
    <row r="25" ht="15" customHeight="1" s="29">
      <c r="A25" s="39" t="inlineStr">
        <is>
          <t>Support_Category</t>
        </is>
      </c>
      <c r="B25" s="55">
        <f>IFERROR(INDEX(Products!$BZ$5:$BZ$500,MATCH($B$4,Products!$A$5:$A$500,0)),"")</f>
        <v/>
      </c>
    </row>
    <row r="27" ht="15" customHeight="1" s="29">
      <c r="A27" s="39" t="inlineStr">
        <is>
          <t>Derived from other tables</t>
        </is>
      </c>
      <c r="B27" s="39" t="n"/>
    </row>
    <row r="28" ht="15" customHeight="1" s="29">
      <c r="A28" s="39" t="inlineStr">
        <is>
          <t>Orderable SKUs (count)</t>
        </is>
      </c>
      <c r="B28" s="39">
        <f>COUNTIF(SKUs!$A$5:$A$1000,$B$4)</f>
        <v/>
      </c>
    </row>
    <row r="29" ht="15" customHeight="1" s="29">
      <c r="A29" s="39" t="inlineStr">
        <is>
          <t>Best EPS PoE budget in matrix (W)</t>
        </is>
      </c>
      <c r="B29" s="39">
        <f>IFERROR(_xlfn.MAXIFS(PSU_PoE_Matrix!$G$5:$G$1000,PSU_PoE_Matrix!$A$5:$A$1000,$B$4),"")</f>
        <v/>
      </c>
    </row>
    <row r="30" ht="15" customHeight="1" s="29">
      <c r="A30" s="39" t="inlineStr">
        <is>
          <t>Best protected (N-1) PoE budget in matrix (W)</t>
        </is>
      </c>
      <c r="B30" s="39">
        <f>IFERROR(_xlfn.MAXIFS(PSU_PoE_Matrix!$J$5:$J$1000,PSU_PoE_Matrix!$A$5:$A$1000,$B$4),"")</f>
        <v/>
      </c>
    </row>
    <row r="31" ht="15" customHeight="1" s="29">
      <c r="A31" s="39" t="inlineStr">
        <is>
          <t>Compatibility rows (product-specific)</t>
        </is>
      </c>
      <c r="B31" s="39">
        <f>COUNTIFS(Compatibility!$A$5:$A$1000,"Product",Compatibility!$B$5:$B$1000,$B$4)</f>
        <v/>
      </c>
    </row>
    <row r="32" ht="15" customHeight="1" s="29">
      <c r="A32" s="39" t="inlineStr">
        <is>
          <t>How many WBE758 (39W) at max budget</t>
        </is>
      </c>
      <c r="B32" s="39">
        <f>IFERROR(MIN(INT(INDEX(Products!$AM$5:$AM$500,MATCH($B$4,Products!$A$5:$A$500,0))/INDEX(Products!$AP$5:$AP$500,MATCH("WBE758",Products!$A$5:$A$500,0))),INDEX(Products!$AI$5:$AI$500,MATCH($B$4,Products!$A$5:$A$500,0))),"")</f>
        <v/>
      </c>
    </row>
  </sheetData>
  <mergeCells count="2">
    <mergeCell ref="A2:F2"/>
    <mergeCell ref="A1:F1"/>
  </mergeCells>
  <dataValidations count="1">
    <dataValidation sqref="B4" showDropDown="0" showInputMessage="0" showErrorMessage="0" allowBlank="0" type="list" errorStyle="stop" operator="between">
      <formula1>Products!$A$5:$A$500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8" min="1" max="1"/>
    <col width="34" customWidth="1" style="28" min="2" max="2"/>
    <col width="11" customWidth="1" style="28" min="3" max="3"/>
    <col width="10" customWidth="1" style="28" min="4" max="4"/>
    <col width="9" customWidth="1" style="28" min="5" max="5"/>
    <col width="8" customWidth="1" style="28" min="6" max="6"/>
    <col width="10" customWidth="1" style="28" min="7" max="7"/>
    <col width="14" customWidth="1" style="28" min="8" max="8"/>
    <col width="44" customWidth="1" style="28" min="9" max="9"/>
    <col width="12" customWidth="1" style="29" min="10" max="10"/>
  </cols>
  <sheetData>
    <row r="1" ht="30" customHeight="1" s="29">
      <c r="A1" s="30" t="inlineStr">
        <is>
          <t>Endpoint Library (read by the BoM tool)</t>
        </is>
      </c>
    </row>
    <row r="2" ht="15" customHeight="1" s="29">
      <c r="A2" s="31" t="inlineStr">
        <is>
          <t>Link speed drives line-rate design; PoE_W is the design allocation per device. Set NETGEAR_Product_ID to add the device itself to the BoM.</t>
        </is>
      </c>
    </row>
    <row r="4" ht="31.5" customHeight="1" s="29">
      <c r="A4" s="42" t="inlineStr">
        <is>
          <t>Endpoint_ID</t>
        </is>
      </c>
      <c r="B4" s="42" t="inlineStr">
        <is>
          <t>Name</t>
        </is>
      </c>
      <c r="C4" s="42" t="inlineStr">
        <is>
          <t>Category</t>
        </is>
      </c>
      <c r="D4" s="42" t="inlineStr">
        <is>
          <t>Link_Speed_Gbps</t>
        </is>
      </c>
      <c r="E4" s="42" t="inlineStr">
        <is>
          <t>Media</t>
        </is>
      </c>
      <c r="F4" s="42" t="inlineStr">
        <is>
          <t>PoE_W</t>
        </is>
      </c>
      <c r="G4" s="42" t="inlineStr">
        <is>
          <t>Stream_Mbps</t>
        </is>
      </c>
      <c r="H4" s="42" t="inlineStr">
        <is>
          <t>NETGEAR_Product_ID</t>
        </is>
      </c>
      <c r="I4" s="42" t="inlineStr">
        <is>
          <t>Notes</t>
        </is>
      </c>
      <c r="J4" s="42" t="inlineStr">
        <is>
          <t>Timing</t>
        </is>
      </c>
    </row>
    <row r="5" ht="23.85" customHeight="1" s="29">
      <c r="A5" s="43" t="inlineStr">
        <is>
          <t>EP-1G-TX</t>
        </is>
      </c>
      <c r="B5" s="43" t="inlineStr">
        <is>
          <t>1G AV-over-IP encoder (TX)</t>
        </is>
      </c>
      <c r="C5" s="43" t="inlineStr">
        <is>
          <t>Video</t>
        </is>
      </c>
      <c r="D5" s="43" t="n">
        <v>1</v>
      </c>
      <c r="E5" s="43" t="inlineStr">
        <is>
          <t>Copper</t>
        </is>
      </c>
      <c r="F5" s="45" t="n">
        <v>13</v>
      </c>
      <c r="G5" s="43" t="n">
        <v>900</v>
      </c>
      <c r="H5" s="43" t="n"/>
      <c r="I5" s="51" t="inlineStr">
        <is>
          <t>e.g. 1G HDMI/USB encoder; set PoE to maker spec</t>
        </is>
      </c>
      <c r="J5" s="51" t="n"/>
    </row>
    <row r="6" ht="15" customHeight="1" s="29">
      <c r="A6" s="43" t="inlineStr">
        <is>
          <t>EP-1G-RX</t>
        </is>
      </c>
      <c r="B6" s="43" t="inlineStr">
        <is>
          <t>1G AV-over-IP decoder (RX)</t>
        </is>
      </c>
      <c r="C6" s="43" t="inlineStr">
        <is>
          <t>Video</t>
        </is>
      </c>
      <c r="D6" s="43" t="n">
        <v>1</v>
      </c>
      <c r="E6" s="43" t="inlineStr">
        <is>
          <t>Copper</t>
        </is>
      </c>
      <c r="F6" s="45" t="n">
        <v>13</v>
      </c>
      <c r="G6" s="43" t="n">
        <v>900</v>
      </c>
      <c r="H6" s="43" t="n"/>
      <c r="I6" s="43" t="n"/>
      <c r="J6" s="43" t="n"/>
    </row>
    <row r="7" ht="23.85" customHeight="1" s="29">
      <c r="A7" s="43" t="inlineStr">
        <is>
          <t>EP-10G-TX</t>
        </is>
      </c>
      <c r="B7" s="43" t="inlineStr">
        <is>
          <t>10G AV-over-IP encoder (copper)</t>
        </is>
      </c>
      <c r="C7" s="43" t="inlineStr">
        <is>
          <t>Video</t>
        </is>
      </c>
      <c r="D7" s="43" t="n">
        <v>10</v>
      </c>
      <c r="E7" s="43" t="inlineStr">
        <is>
          <t>Copper</t>
        </is>
      </c>
      <c r="F7" s="45" t="n">
        <v>0</v>
      </c>
      <c r="G7" s="43" t="n">
        <v>9500</v>
      </c>
      <c r="H7" s="43" t="n"/>
      <c r="I7" s="51" t="inlineStr">
        <is>
          <t>SDVoE / uncompressed class; usually locally powered</t>
        </is>
      </c>
      <c r="J7" s="51" t="n"/>
    </row>
    <row r="8" ht="15" customHeight="1" s="29">
      <c r="A8" s="43" t="inlineStr">
        <is>
          <t>EP-10G-RX</t>
        </is>
      </c>
      <c r="B8" s="43" t="inlineStr">
        <is>
          <t>10G AV-over-IP decoder (copper)</t>
        </is>
      </c>
      <c r="C8" s="43" t="inlineStr">
        <is>
          <t>Video</t>
        </is>
      </c>
      <c r="D8" s="43" t="n">
        <v>10</v>
      </c>
      <c r="E8" s="43" t="inlineStr">
        <is>
          <t>Copper</t>
        </is>
      </c>
      <c r="F8" s="45" t="n">
        <v>0</v>
      </c>
      <c r="G8" s="43" t="n">
        <v>9500</v>
      </c>
      <c r="H8" s="43" t="n"/>
      <c r="I8" s="43" t="n"/>
      <c r="J8" s="43" t="n"/>
    </row>
    <row r="9" ht="15" customHeight="1" s="29">
      <c r="A9" s="43" t="inlineStr">
        <is>
          <t>EP-10G-FX</t>
        </is>
      </c>
      <c r="B9" s="43" t="inlineStr">
        <is>
          <t>10G video endpoint (SFP+ fiber)</t>
        </is>
      </c>
      <c r="C9" s="43" t="inlineStr">
        <is>
          <t>Video</t>
        </is>
      </c>
      <c r="D9" s="43" t="n">
        <v>10</v>
      </c>
      <c r="E9" s="43" t="inlineStr">
        <is>
          <t>Fiber</t>
        </is>
      </c>
      <c r="F9" s="45" t="n">
        <v>0</v>
      </c>
      <c r="G9" s="43" t="n">
        <v>9500</v>
      </c>
      <c r="H9" s="43" t="n"/>
      <c r="I9" s="43" t="inlineStr">
        <is>
          <t>Switch-side optic added to BoM</t>
        </is>
      </c>
      <c r="J9" s="43" t="n"/>
    </row>
    <row r="10" ht="15" customHeight="1" s="29">
      <c r="A10" s="43" t="inlineStr">
        <is>
          <t>EP-25G-2110</t>
        </is>
      </c>
      <c r="B10" s="43" t="inlineStr">
        <is>
          <t>25G ST 2110 device (SFP28)</t>
        </is>
      </c>
      <c r="C10" s="43" t="inlineStr">
        <is>
          <t>Video</t>
        </is>
      </c>
      <c r="D10" s="43" t="n">
        <v>25</v>
      </c>
      <c r="E10" s="43" t="inlineStr">
        <is>
          <t>Fiber</t>
        </is>
      </c>
      <c r="F10" s="45" t="n">
        <v>0</v>
      </c>
      <c r="G10" s="43" t="n">
        <v>20000</v>
      </c>
      <c r="H10" s="43" t="n"/>
      <c r="I10" s="43" t="inlineStr">
        <is>
          <t>25G SR optic added to BoM. ST 2110 timing (SMPTE 2059-2) needs a PTP boundary clock</t>
        </is>
      </c>
      <c r="J10" s="43" t="inlineStr">
        <is>
          <t>PTP-BC</t>
        </is>
      </c>
    </row>
    <row r="11" ht="15" customHeight="1" s="29">
      <c r="A11" s="43" t="inlineStr">
        <is>
          <t>EP-DANTE</t>
        </is>
      </c>
      <c r="B11" s="43" t="inlineStr">
        <is>
          <t>Dante / AES67 audio device</t>
        </is>
      </c>
      <c r="C11" s="43" t="inlineStr">
        <is>
          <t>Audio</t>
        </is>
      </c>
      <c r="D11" s="43" t="n">
        <v>1</v>
      </c>
      <c r="E11" s="43" t="inlineStr">
        <is>
          <t>Copper</t>
        </is>
      </c>
      <c r="F11" s="45" t="n">
        <v>13</v>
      </c>
      <c r="G11" s="43" t="n">
        <v>20</v>
      </c>
      <c r="H11" s="43" t="n"/>
      <c r="I11" s="43" t="n"/>
      <c r="J11" s="43" t="n"/>
    </row>
    <row r="12" ht="15" customHeight="1" s="29">
      <c r="A12" s="43" t="inlineStr">
        <is>
          <t>EP-PTZ</t>
        </is>
      </c>
      <c r="B12" s="43" t="inlineStr">
        <is>
          <t>PTZ camera (PoE++)</t>
        </is>
      </c>
      <c r="C12" s="43" t="inlineStr">
        <is>
          <t>Camera</t>
        </is>
      </c>
      <c r="D12" s="43" t="n">
        <v>1</v>
      </c>
      <c r="E12" s="43" t="inlineStr">
        <is>
          <t>Copper</t>
        </is>
      </c>
      <c r="F12" s="45" t="n">
        <v>60</v>
      </c>
      <c r="G12" s="43" t="n">
        <v>30</v>
      </c>
      <c r="H12" s="43" t="n"/>
      <c r="I12" s="43" t="n"/>
      <c r="J12" s="43" t="n"/>
    </row>
    <row r="13" ht="15" customHeight="1" s="29">
      <c r="A13" s="43" t="inlineStr">
        <is>
          <t>EP-PANEL</t>
        </is>
      </c>
      <c r="B13" s="43" t="inlineStr">
        <is>
          <t>Touch panel</t>
        </is>
      </c>
      <c r="C13" s="43" t="inlineStr">
        <is>
          <t>Control</t>
        </is>
      </c>
      <c r="D13" s="43" t="n">
        <v>1</v>
      </c>
      <c r="E13" s="43" t="inlineStr">
        <is>
          <t>Copper</t>
        </is>
      </c>
      <c r="F13" s="45" t="n">
        <v>25</v>
      </c>
      <c r="G13" s="43" t="n">
        <v>5</v>
      </c>
      <c r="H13" s="43" t="n"/>
      <c r="I13" s="43" t="n"/>
      <c r="J13" s="43" t="n"/>
    </row>
    <row r="14" ht="15" customHeight="1" s="29">
      <c r="A14" s="43" t="inlineStr">
        <is>
          <t>EP-CTRL</t>
        </is>
      </c>
      <c r="B14" s="43" t="inlineStr">
        <is>
          <t>Control processor</t>
        </is>
      </c>
      <c r="C14" s="43" t="inlineStr">
        <is>
          <t>Control</t>
        </is>
      </c>
      <c r="D14" s="43" t="n">
        <v>1</v>
      </c>
      <c r="E14" s="43" t="inlineStr">
        <is>
          <t>Copper</t>
        </is>
      </c>
      <c r="F14" s="45" t="n">
        <v>0</v>
      </c>
      <c r="G14" s="43" t="n">
        <v>5</v>
      </c>
      <c r="H14" s="43" t="n"/>
      <c r="I14" s="43" t="n"/>
      <c r="J14" s="43" t="n"/>
    </row>
    <row r="15" ht="15" customHeight="1" s="29">
      <c r="A15" s="43" t="inlineStr">
        <is>
          <t>EP-PC</t>
        </is>
      </c>
      <c r="B15" s="43" t="inlineStr">
        <is>
          <t>PC / workstation</t>
        </is>
      </c>
      <c r="C15" s="43" t="inlineStr">
        <is>
          <t>IT</t>
        </is>
      </c>
      <c r="D15" s="43" t="n">
        <v>1</v>
      </c>
      <c r="E15" s="43" t="inlineStr">
        <is>
          <t>Copper</t>
        </is>
      </c>
      <c r="F15" s="45" t="n">
        <v>0</v>
      </c>
      <c r="G15" s="43" t="n">
        <v>1000</v>
      </c>
      <c r="H15" s="43" t="n"/>
      <c r="I15" s="43" t="n"/>
      <c r="J15" s="43" t="n"/>
    </row>
    <row r="16" ht="15" customHeight="1" s="29">
      <c r="A16" s="43" t="inlineStr">
        <is>
          <t>EP-WBE758</t>
        </is>
      </c>
      <c r="B16" s="43" t="inlineStr">
        <is>
          <t>NETGEAR WBE758 WiFi 7 AP</t>
        </is>
      </c>
      <c r="C16" s="43" t="inlineStr">
        <is>
          <t>Wireless</t>
        </is>
      </c>
      <c r="D16" s="43" t="n">
        <v>10</v>
      </c>
      <c r="E16" s="43" t="inlineStr">
        <is>
          <t>Copper</t>
        </is>
      </c>
      <c r="F16" s="45" t="n">
        <v>39</v>
      </c>
      <c r="G16" s="43" t="n">
        <v>5000</v>
      </c>
      <c r="H16" s="43" t="inlineStr">
        <is>
          <t>WBE758</t>
        </is>
      </c>
      <c r="I16" s="43" t="inlineStr">
        <is>
          <t>From WBE758 datasheet (39W, 10G uplink)</t>
        </is>
      </c>
      <c r="J16" s="43" t="n"/>
    </row>
    <row r="17" ht="15" customHeight="1" s="29">
      <c r="A17" s="43" t="inlineStr">
        <is>
          <t>EP-WBE718</t>
        </is>
      </c>
      <c r="B17" s="43" t="inlineStr">
        <is>
          <t>NETGEAR WBE718 WiFi 7 AP</t>
        </is>
      </c>
      <c r="C17" s="43" t="inlineStr">
        <is>
          <t>Wireless</t>
        </is>
      </c>
      <c r="D17" s="43" t="n">
        <v>2.5</v>
      </c>
      <c r="E17" s="43" t="inlineStr">
        <is>
          <t>Copper</t>
        </is>
      </c>
      <c r="F17" s="45" t="n">
        <v>25</v>
      </c>
      <c r="G17" s="43" t="n">
        <v>2500</v>
      </c>
      <c r="H17" s="43" t="inlineStr">
        <is>
          <t>WBE718</t>
        </is>
      </c>
      <c r="I17" s="43" t="inlineStr">
        <is>
          <t>From WBE718 datasheet (25W, 2.5G uplink)</t>
        </is>
      </c>
      <c r="J17" s="43" t="n"/>
    </row>
    <row r="18">
      <c r="A18" s="43" t="inlineStr">
        <is>
          <t>EP-MILAN</t>
        </is>
      </c>
      <c r="B18" s="43" t="inlineStr">
        <is>
          <t>AVB / Milan audio device</t>
        </is>
      </c>
      <c r="C18" s="43" t="inlineStr">
        <is>
          <t>Audio</t>
        </is>
      </c>
      <c r="D18" s="43" t="n">
        <v>1</v>
      </c>
      <c r="E18" s="43" t="inlineStr">
        <is>
          <t>Copper</t>
        </is>
      </c>
      <c r="F18" s="45" t="n">
        <v>13</v>
      </c>
      <c r="G18" s="43" t="n">
        <v>10</v>
      </c>
      <c r="H18" s="43" t="n"/>
      <c r="I18" s="43" t="inlineStr">
        <is>
          <t>Needs AVB-capable switches; M4250 AVB does not run over a LAG</t>
        </is>
      </c>
      <c r="J18" s="43" t="inlineStr">
        <is>
          <t>AVB</t>
        </is>
      </c>
    </row>
  </sheetData>
  <mergeCells count="2">
    <mergeCell ref="A1:J1"/>
    <mergeCell ref="A2:J2"/>
  </mergeCells>
  <dataValidations count="3">
    <dataValidation sqref="D5:D1000" showDropDown="0" showInputMessage="0" showErrorMessage="0" allowBlank="1" type="list" errorStyle="stop" operator="between">
      <formula1>Lists!$J$5:$J$13</formula1>
      <formula2>0</formula2>
    </dataValidation>
    <dataValidation sqref="E5:E1000" showDropDown="0" showInputMessage="0" showErrorMessage="0" allowBlank="1" type="list" errorStyle="stop" operator="between">
      <formula1>Lists!$K$5:$K$6</formula1>
      <formula2>0</formula2>
    </dataValidation>
    <dataValidation sqref="J5:J1000" showDropDown="0" showInputMessage="0" showErrorMessage="0" allowBlank="1" type="list">
      <formula1>"PTP-BC,AVB"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22" customWidth="1" style="28" min="2" max="2"/>
    <col width="9" customWidth="1" style="28" min="3" max="3"/>
    <col width="10" customWidth="1" style="28" min="4" max="5"/>
    <col width="18" customWidth="1" style="28" min="6" max="6"/>
    <col width="10" customWidth="1" style="28" min="7" max="8"/>
    <col width="9" customWidth="1" style="28" min="9" max="9"/>
    <col width="10" customWidth="1" style="28" min="10" max="10"/>
    <col width="44" customWidth="1" style="28" min="11" max="11"/>
  </cols>
  <sheetData>
    <row r="1" ht="30" customHeight="1" s="29">
      <c r="A1" s="30" t="inlineStr">
        <is>
          <t>Port Types (tells the BoM tool what every Ports_* column means)</t>
        </is>
      </c>
    </row>
    <row r="2" ht="15" customHeight="1" s="29">
      <c r="A2" s="31" t="inlineStr">
        <is>
          <t>To add a new speed: add a Ports_&lt;name&gt; column in Products AND a row here. The tool needs no code change.</t>
        </is>
      </c>
    </row>
    <row r="4" ht="31.5" customHeight="1" s="29">
      <c r="A4" s="42" t="inlineStr">
        <is>
          <t>Column_Name</t>
        </is>
      </c>
      <c r="B4" s="42" t="inlineStr">
        <is>
          <t>Port_Type</t>
        </is>
      </c>
      <c r="C4" s="42" t="inlineStr">
        <is>
          <t>Media</t>
        </is>
      </c>
      <c r="D4" s="42" t="inlineStr">
        <is>
          <t>Cage</t>
        </is>
      </c>
      <c r="E4" s="42" t="inlineStr">
        <is>
          <t>Max_Speed_Gbps</t>
        </is>
      </c>
      <c r="F4" s="42" t="inlineStr">
        <is>
          <t>Supported_Speeds_Gbps</t>
        </is>
      </c>
      <c r="G4" s="42" t="inlineStr">
        <is>
          <t>Endpoint_Capable</t>
        </is>
      </c>
      <c r="H4" s="42" t="inlineStr">
        <is>
          <t>Uplink_Capable</t>
        </is>
      </c>
      <c r="I4" s="42" t="inlineStr">
        <is>
          <t>PoE_Capable</t>
        </is>
      </c>
      <c r="J4" s="42" t="inlineStr">
        <is>
          <t>Breakout</t>
        </is>
      </c>
      <c r="K4" s="42" t="inlineStr">
        <is>
          <t>Notes</t>
        </is>
      </c>
    </row>
    <row r="5" ht="15" customHeight="1" s="29">
      <c r="A5" s="43" t="inlineStr">
        <is>
          <t>Ports_1G_RJ45</t>
        </is>
      </c>
      <c r="B5" s="43" t="inlineStr">
        <is>
          <t>1G copper</t>
        </is>
      </c>
      <c r="C5" s="43" t="inlineStr">
        <is>
          <t>Copper</t>
        </is>
      </c>
      <c r="D5" s="43" t="inlineStr">
        <is>
          <t>RJ45</t>
        </is>
      </c>
      <c r="E5" s="43" t="n">
        <v>1</v>
      </c>
      <c r="F5" s="43" t="inlineStr">
        <is>
          <t>0.1,1</t>
        </is>
      </c>
      <c r="G5" s="43" t="inlineStr">
        <is>
          <t>Yes</t>
        </is>
      </c>
      <c r="H5" s="43" t="inlineStr">
        <is>
          <t>No</t>
        </is>
      </c>
      <c r="I5" s="43" t="inlineStr">
        <is>
          <t>Yes</t>
        </is>
      </c>
      <c r="J5" s="43" t="n"/>
      <c r="K5" s="43" t="inlineStr">
        <is>
          <t>10/100/1000BASE-T</t>
        </is>
      </c>
    </row>
    <row r="6" ht="15" customHeight="1" s="29">
      <c r="A6" s="43" t="inlineStr">
        <is>
          <t>Ports_2.5G_RJ45</t>
        </is>
      </c>
      <c r="B6" s="43" t="inlineStr">
        <is>
          <t>2.5G copper</t>
        </is>
      </c>
      <c r="C6" s="43" t="inlineStr">
        <is>
          <t>Copper</t>
        </is>
      </c>
      <c r="D6" s="43" t="inlineStr">
        <is>
          <t>RJ45</t>
        </is>
      </c>
      <c r="E6" s="43" t="n">
        <v>2.5</v>
      </c>
      <c r="F6" s="43" t="inlineStr">
        <is>
          <t>0.1,1,2.5</t>
        </is>
      </c>
      <c r="G6" s="43" t="inlineStr">
        <is>
          <t>Yes</t>
        </is>
      </c>
      <c r="H6" s="43" t="inlineStr">
        <is>
          <t>No</t>
        </is>
      </c>
      <c r="I6" s="43" t="inlineStr">
        <is>
          <t>Yes</t>
        </is>
      </c>
      <c r="J6" s="43" t="n"/>
      <c r="K6" s="43" t="inlineStr">
        <is>
          <t>100M/1G/2.5GBASE-T</t>
        </is>
      </c>
    </row>
    <row r="7" ht="15" customHeight="1" s="29">
      <c r="A7" s="43" t="inlineStr">
        <is>
          <t>Ports_5G_RJ45</t>
        </is>
      </c>
      <c r="B7" s="43" t="inlineStr">
        <is>
          <t>5G copper</t>
        </is>
      </c>
      <c r="C7" s="43" t="inlineStr">
        <is>
          <t>Copper</t>
        </is>
      </c>
      <c r="D7" s="43" t="inlineStr">
        <is>
          <t>RJ45</t>
        </is>
      </c>
      <c r="E7" s="43" t="n">
        <v>5</v>
      </c>
      <c r="F7" s="43" t="inlineStr">
        <is>
          <t>1,2.5,5</t>
        </is>
      </c>
      <c r="G7" s="43" t="inlineStr">
        <is>
          <t>Yes</t>
        </is>
      </c>
      <c r="H7" s="43" t="inlineStr">
        <is>
          <t>No</t>
        </is>
      </c>
      <c r="I7" s="43" t="inlineStr">
        <is>
          <t>Yes</t>
        </is>
      </c>
      <c r="J7" s="43" t="n"/>
      <c r="K7" s="43" t="inlineStr">
        <is>
          <t>Future-ready</t>
        </is>
      </c>
    </row>
    <row r="8" ht="23.85" customHeight="1" s="29">
      <c r="A8" s="43" t="inlineStr">
        <is>
          <t>Ports_10G_RJ45</t>
        </is>
      </c>
      <c r="B8" s="43" t="inlineStr">
        <is>
          <t>10G copper (multi-gig)</t>
        </is>
      </c>
      <c r="C8" s="43" t="inlineStr">
        <is>
          <t>Copper</t>
        </is>
      </c>
      <c r="D8" s="43" t="inlineStr">
        <is>
          <t>RJ45</t>
        </is>
      </c>
      <c r="E8" s="43" t="n">
        <v>10</v>
      </c>
      <c r="F8" s="43" t="inlineStr">
        <is>
          <t>1,2.5,5,10</t>
        </is>
      </c>
      <c r="G8" s="43" t="inlineStr">
        <is>
          <t>Yes</t>
        </is>
      </c>
      <c r="H8" s="43" t="inlineStr">
        <is>
          <t>No</t>
        </is>
      </c>
      <c r="I8" s="43" t="inlineStr">
        <is>
          <t>Yes</t>
        </is>
      </c>
      <c r="J8" s="43" t="n"/>
      <c r="K8" s="51" t="inlineStr">
        <is>
          <t>100M support varies per model - see Port_Speed_Constraints</t>
        </is>
      </c>
    </row>
    <row r="9" ht="15" customHeight="1" s="29">
      <c r="A9" s="43" t="inlineStr">
        <is>
          <t>Ports_SFP_1G</t>
        </is>
      </c>
      <c r="B9" s="43" t="inlineStr">
        <is>
          <t>1G SFP</t>
        </is>
      </c>
      <c r="C9" s="43" t="inlineStr">
        <is>
          <t>Fiber</t>
        </is>
      </c>
      <c r="D9" s="43" t="inlineStr">
        <is>
          <t>SFP</t>
        </is>
      </c>
      <c r="E9" s="43" t="n">
        <v>1</v>
      </c>
      <c r="F9" s="43" t="inlineStr">
        <is>
          <t>1</t>
        </is>
      </c>
      <c r="G9" s="43" t="inlineStr">
        <is>
          <t>Yes</t>
        </is>
      </c>
      <c r="H9" s="43" t="inlineStr">
        <is>
          <t>Yes</t>
        </is>
      </c>
      <c r="I9" s="43" t="inlineStr">
        <is>
          <t>No</t>
        </is>
      </c>
      <c r="J9" s="43" t="n"/>
      <c r="K9" s="43" t="n"/>
    </row>
    <row r="10" ht="15" customHeight="1" s="29">
      <c r="A10" s="43" t="inlineStr">
        <is>
          <t>Ports_SFP_2.5G</t>
        </is>
      </c>
      <c r="B10" s="43" t="inlineStr">
        <is>
          <t>1G/2.5G SFP</t>
        </is>
      </c>
      <c r="C10" s="43" t="inlineStr">
        <is>
          <t>Fiber</t>
        </is>
      </c>
      <c r="D10" s="43" t="inlineStr">
        <is>
          <t>SFP</t>
        </is>
      </c>
      <c r="E10" s="43" t="n">
        <v>2.5</v>
      </c>
      <c r="F10" s="43" t="inlineStr">
        <is>
          <t>1,2.5</t>
        </is>
      </c>
      <c r="G10" s="43" t="inlineStr">
        <is>
          <t>Yes</t>
        </is>
      </c>
      <c r="H10" s="43" t="inlineStr">
        <is>
          <t>Yes</t>
        </is>
      </c>
      <c r="I10" s="43" t="inlineStr">
        <is>
          <t>No</t>
        </is>
      </c>
      <c r="J10" s="43" t="n"/>
      <c r="K10" s="43" t="n"/>
    </row>
    <row r="11" ht="15" customHeight="1" s="29">
      <c r="A11" s="43" t="inlineStr">
        <is>
          <t>Ports_SFP+_10G</t>
        </is>
      </c>
      <c r="B11" s="43" t="inlineStr">
        <is>
          <t>10G SFP+</t>
        </is>
      </c>
      <c r="C11" s="43" t="inlineStr">
        <is>
          <t>Fiber</t>
        </is>
      </c>
      <c r="D11" s="43" t="inlineStr">
        <is>
          <t>SFP+</t>
        </is>
      </c>
      <c r="E11" s="43" t="n">
        <v>10</v>
      </c>
      <c r="F11" s="43" t="inlineStr">
        <is>
          <t>1,10</t>
        </is>
      </c>
      <c r="G11" s="43" t="inlineStr">
        <is>
          <t>Yes</t>
        </is>
      </c>
      <c r="H11" s="43" t="inlineStr">
        <is>
          <t>Yes</t>
        </is>
      </c>
      <c r="I11" s="43" t="inlineStr">
        <is>
          <t>No</t>
        </is>
      </c>
      <c r="J11" s="43" t="n"/>
      <c r="K11" s="43" t="n"/>
    </row>
    <row r="12" ht="15" customHeight="1" s="29">
      <c r="A12" s="43" t="inlineStr">
        <is>
          <t>Ports_Combo_10G</t>
        </is>
      </c>
      <c r="B12" s="43" t="inlineStr">
        <is>
          <t>10G combo (RJ45/SFP+)</t>
        </is>
      </c>
      <c r="C12" s="43" t="inlineStr">
        <is>
          <t>Fiber</t>
        </is>
      </c>
      <c r="D12" s="43" t="inlineStr">
        <is>
          <t>SFP+</t>
        </is>
      </c>
      <c r="E12" s="43" t="n">
        <v>10</v>
      </c>
      <c r="F12" s="43" t="inlineStr">
        <is>
          <t>1,10</t>
        </is>
      </c>
      <c r="G12" s="43" t="inlineStr">
        <is>
          <t>Yes</t>
        </is>
      </c>
      <c r="H12" s="43" t="inlineStr">
        <is>
          <t>Yes</t>
        </is>
      </c>
      <c r="I12" s="43" t="inlineStr">
        <is>
          <t>No</t>
        </is>
      </c>
      <c r="J12" s="43" t="n"/>
      <c r="K12" s="43" t="inlineStr">
        <is>
          <t>Counted once; engine treats as SFP+</t>
        </is>
      </c>
    </row>
    <row r="13" ht="15" customHeight="1" s="29">
      <c r="A13" s="43" t="inlineStr">
        <is>
          <t>Ports_SFP28_25G</t>
        </is>
      </c>
      <c r="B13" s="43" t="inlineStr">
        <is>
          <t>25G SFP28</t>
        </is>
      </c>
      <c r="C13" s="43" t="inlineStr">
        <is>
          <t>Fiber</t>
        </is>
      </c>
      <c r="D13" s="43" t="inlineStr">
        <is>
          <t>SFP28</t>
        </is>
      </c>
      <c r="E13" s="43" t="n">
        <v>25</v>
      </c>
      <c r="F13" s="43" t="inlineStr">
        <is>
          <t>10,25</t>
        </is>
      </c>
      <c r="G13" s="43" t="inlineStr">
        <is>
          <t>Yes</t>
        </is>
      </c>
      <c r="H13" s="43" t="inlineStr">
        <is>
          <t>Yes</t>
        </is>
      </c>
      <c r="I13" s="43" t="inlineStr">
        <is>
          <t>No</t>
        </is>
      </c>
      <c r="J13" s="43" t="n"/>
      <c r="K13" s="43" t="inlineStr">
        <is>
          <t>M4350: one speed per 4-port block</t>
        </is>
      </c>
    </row>
    <row r="14" ht="15" customHeight="1" s="29">
      <c r="A14" s="43" t="inlineStr">
        <is>
          <t>Ports_SFP56_50G</t>
        </is>
      </c>
      <c r="B14" s="43" t="inlineStr">
        <is>
          <t>50G SFP56</t>
        </is>
      </c>
      <c r="C14" s="43" t="inlineStr">
        <is>
          <t>Fiber</t>
        </is>
      </c>
      <c r="D14" s="43" t="inlineStr">
        <is>
          <t>SFP56</t>
        </is>
      </c>
      <c r="E14" s="43" t="n">
        <v>50</v>
      </c>
      <c r="F14" s="43" t="inlineStr">
        <is>
          <t>10,25,50</t>
        </is>
      </c>
      <c r="G14" s="43" t="inlineStr">
        <is>
          <t>Yes</t>
        </is>
      </c>
      <c r="H14" s="43" t="inlineStr">
        <is>
          <t>Yes</t>
        </is>
      </c>
      <c r="I14" s="43" t="inlineStr">
        <is>
          <t>No</t>
        </is>
      </c>
      <c r="J14" s="43" t="n"/>
      <c r="K14" s="43" t="inlineStr">
        <is>
          <t>Future-ready</t>
        </is>
      </c>
    </row>
    <row r="15" ht="15" customHeight="1" s="29">
      <c r="A15" s="43" t="inlineStr">
        <is>
          <t>Ports_QSFP28_100G</t>
        </is>
      </c>
      <c r="B15" s="43" t="inlineStr">
        <is>
          <t>100G QSFP28</t>
        </is>
      </c>
      <c r="C15" s="43" t="inlineStr">
        <is>
          <t>Fiber</t>
        </is>
      </c>
      <c r="D15" s="43" t="inlineStr">
        <is>
          <t>QSFP28</t>
        </is>
      </c>
      <c r="E15" s="43" t="n">
        <v>100</v>
      </c>
      <c r="F15" s="43" t="inlineStr">
        <is>
          <t>40,100</t>
        </is>
      </c>
      <c r="G15" s="43" t="inlineStr">
        <is>
          <t>No</t>
        </is>
      </c>
      <c r="H15" s="43" t="inlineStr">
        <is>
          <t>Yes</t>
        </is>
      </c>
      <c r="I15" s="43" t="inlineStr">
        <is>
          <t>No</t>
        </is>
      </c>
      <c r="J15" s="43" t="inlineStr">
        <is>
          <t>4x25G</t>
        </is>
      </c>
      <c r="K15" s="43" t="inlineStr">
        <is>
          <t>Breakout not used by engine yet</t>
        </is>
      </c>
    </row>
    <row r="16" ht="15" customHeight="1" s="29">
      <c r="A16" s="43" t="inlineStr">
        <is>
          <t>Ports_QSFP56_200G</t>
        </is>
      </c>
      <c r="B16" s="43" t="inlineStr">
        <is>
          <t>200G QSFP56</t>
        </is>
      </c>
      <c r="C16" s="43" t="inlineStr">
        <is>
          <t>Fiber</t>
        </is>
      </c>
      <c r="D16" s="43" t="inlineStr">
        <is>
          <t>QSFP56</t>
        </is>
      </c>
      <c r="E16" s="43" t="n">
        <v>200</v>
      </c>
      <c r="F16" s="43" t="inlineStr">
        <is>
          <t>40,100,200</t>
        </is>
      </c>
      <c r="G16" s="43" t="inlineStr">
        <is>
          <t>No</t>
        </is>
      </c>
      <c r="H16" s="43" t="inlineStr">
        <is>
          <t>Yes</t>
        </is>
      </c>
      <c r="I16" s="43" t="inlineStr">
        <is>
          <t>No</t>
        </is>
      </c>
      <c r="J16" s="43" t="inlineStr">
        <is>
          <t>4x50G</t>
        </is>
      </c>
      <c r="K16" s="43" t="inlineStr">
        <is>
          <t>Future-ready</t>
        </is>
      </c>
    </row>
    <row r="17" ht="15" customHeight="1" s="29">
      <c r="A17" s="43" t="inlineStr">
        <is>
          <t>Ports_QSFPDD_400G</t>
        </is>
      </c>
      <c r="B17" s="43" t="inlineStr">
        <is>
          <t>400G QSFP-DD</t>
        </is>
      </c>
      <c r="C17" s="43" t="inlineStr">
        <is>
          <t>Fiber</t>
        </is>
      </c>
      <c r="D17" s="43" t="inlineStr">
        <is>
          <t>QSFP-DD</t>
        </is>
      </c>
      <c r="E17" s="43" t="n">
        <v>400</v>
      </c>
      <c r="F17" s="43" t="inlineStr">
        <is>
          <t>100,200,400</t>
        </is>
      </c>
      <c r="G17" s="43" t="inlineStr">
        <is>
          <t>No</t>
        </is>
      </c>
      <c r="H17" s="43" t="inlineStr">
        <is>
          <t>Yes</t>
        </is>
      </c>
      <c r="I17" s="43" t="inlineStr">
        <is>
          <t>No</t>
        </is>
      </c>
      <c r="J17" s="43" t="inlineStr">
        <is>
          <t>4x100G</t>
        </is>
      </c>
      <c r="K17" s="43" t="inlineStr">
        <is>
          <t>Future-ready</t>
        </is>
      </c>
    </row>
  </sheetData>
  <mergeCells count="2">
    <mergeCell ref="A2:K2"/>
    <mergeCell ref="A1:K1"/>
  </mergeCells>
  <dataValidations count="1">
    <dataValidation sqref="C5:C1000" showDropDown="0" showInputMessage="0" showErrorMessage="0" allowBlank="1" type="list" errorStyle="stop" operator="between">
      <formula1>Lists!$K$5:$K$6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8" min="1" max="1"/>
    <col width="90" customWidth="1" style="28" min="2" max="2"/>
    <col width="50" customWidth="1" style="28" min="3" max="3"/>
  </cols>
  <sheetData>
    <row r="1" ht="30" customHeight="1" s="29">
      <c r="A1" s="30" t="inlineStr">
        <is>
          <t>Tool Settings (read by the BoM tool)</t>
        </is>
      </c>
    </row>
    <row r="2" ht="15" customHeight="1" s="29">
      <c r="A2" s="31" t="inlineStr">
        <is>
          <t>Change behaviour and wording without code changes.</t>
        </is>
      </c>
    </row>
    <row r="4" ht="31.5" customHeight="1" s="29">
      <c r="A4" s="42" t="inlineStr">
        <is>
          <t>Key</t>
        </is>
      </c>
      <c r="B4" s="42" t="inlineStr">
        <is>
          <t>Value</t>
        </is>
      </c>
      <c r="C4" s="42" t="inlineStr">
        <is>
          <t>Notes</t>
        </is>
      </c>
    </row>
    <row r="5" ht="15" customHeight="1" s="29">
      <c r="A5" s="43" t="inlineStr">
        <is>
          <t>Catalog_Version</t>
        </is>
      </c>
      <c r="B5" s="43" t="inlineStr">
        <is>
          <t>2026.10.01</t>
        </is>
      </c>
      <c r="C5" s="43" t="inlineStr">
        <is>
          <t>Bump on every published update</t>
        </is>
      </c>
    </row>
    <row r="6" ht="15" customHeight="1" s="29">
      <c r="A6" s="43" t="inlineStr">
        <is>
          <t>Validation_Contact_Email</t>
        </is>
      </c>
      <c r="B6" s="43" t="inlineStr">
        <is>
          <t>proavdesign@netgear.com</t>
        </is>
      </c>
      <c r="C6" s="43" t="inlineStr">
        <is>
          <t>Shown to users; from M4250 datasheet</t>
        </is>
      </c>
    </row>
    <row r="7" ht="23.85" customHeight="1" s="29">
      <c r="A7" s="43" t="inlineStr">
        <is>
          <t>Disclaimer</t>
        </is>
      </c>
      <c r="B7" s="51" t="inlineStr">
        <is>
          <t>This bill of materials is generated automatically as a budgetary estimate. It must be validated by the ProAV Design team before ordering.</t>
        </is>
      </c>
      <c r="C7" s="43" t="inlineStr">
        <is>
          <t>Shown on screen and in every export</t>
        </is>
      </c>
    </row>
    <row r="8" ht="15" customHeight="1" s="29">
      <c r="A8" s="43" t="inlineStr">
        <is>
          <t>Gateway_Product_ID</t>
        </is>
      </c>
      <c r="B8" s="43" t="inlineStr">
        <is>
          <t>PR460X</t>
        </is>
      </c>
      <c r="C8" s="51" t="inlineStr">
        <is>
          <t>Router added when 'include gateway' is on</t>
        </is>
      </c>
    </row>
    <row r="9" ht="15" customHeight="1" s="29">
      <c r="A9" s="43" t="inlineStr">
        <is>
          <t>Support_SKU_Pattern</t>
        </is>
      </c>
      <c r="B9" s="43" t="inlineStr">
        <is>
          <t>PMB03{years}{cat}-10000S</t>
        </is>
      </c>
      <c r="C9" s="51" t="inlineStr">
        <is>
          <t>{years}=1/3/5, {cat}=digit from Support_Category</t>
        </is>
      </c>
    </row>
    <row r="10" ht="23.85" customHeight="1" s="29">
      <c r="A10" s="43" t="inlineStr">
        <is>
          <t>PSU_Efficiency</t>
        </is>
      </c>
      <c r="B10" s="43" t="inlineStr">
        <is>
          <t>0.9</t>
        </is>
      </c>
      <c r="C10" s="51" t="inlineStr">
        <is>
          <t>Used for estimated draw = no-PoE max + PoE load / efficiency</t>
        </is>
      </c>
    </row>
    <row r="11" ht="15" customHeight="1" s="29">
      <c r="A11" s="43" t="inlineStr">
        <is>
          <t>Default_Spare_Pct</t>
        </is>
      </c>
      <c r="B11" s="43" t="inlineStr">
        <is>
          <t>10</t>
        </is>
      </c>
      <c r="C11" s="43" t="n"/>
    </row>
    <row r="12" ht="15" customHeight="1" s="29">
      <c r="A12" s="43" t="inlineStr">
        <is>
          <t>Default_PoE_Headroom_Pct</t>
        </is>
      </c>
      <c r="B12" s="43" t="inlineStr">
        <is>
          <t>20</t>
        </is>
      </c>
      <c r="C12" s="43" t="n"/>
    </row>
    <row r="13" ht="15" customHeight="1" s="29">
      <c r="A13" s="43" t="inlineStr">
        <is>
          <t>Default_Oversubscription</t>
        </is>
      </c>
      <c r="B13" s="43" t="inlineStr">
        <is>
          <t>1</t>
        </is>
      </c>
      <c r="C13" s="43" t="inlineStr">
        <is>
          <t>1 = line-rate</t>
        </is>
      </c>
    </row>
    <row r="14" ht="15" customHeight="1" s="29">
      <c r="A14" s="43" t="inlineStr">
        <is>
          <t>Max_LAG_Members</t>
        </is>
      </c>
      <c r="B14" s="43" t="inlineStr">
        <is>
          <t>8</t>
        </is>
      </c>
      <c r="C14" s="43" t="inlineStr">
        <is>
          <t>Max uplinks per switch</t>
        </is>
      </c>
    </row>
    <row r="15" ht="23.85" customHeight="1" s="29">
      <c r="A15" s="43" t="inlineStr">
        <is>
          <t>Min_Uplink_Gbps</t>
        </is>
      </c>
      <c r="B15" s="43" t="inlineStr">
        <is>
          <t>10</t>
        </is>
      </c>
      <c r="C15" s="43" t="inlineStr">
        <is>
          <t>Slowest uplink speed to the core. 10 keeps headroom even when only audio or control devices are in a room; 1 allows 1G uplinks</t>
        </is>
      </c>
    </row>
    <row r="16" ht="15" customHeight="1" s="29">
      <c r="A16" s="43" t="inlineStr">
        <is>
          <t>Uplink_LAG_Sizes</t>
        </is>
      </c>
      <c r="B16" s="43" t="inlineStr">
        <is>
          <t>1,2,4,8</t>
        </is>
      </c>
      <c r="C16" s="51" t="inlineStr">
        <is>
          <t>Allowed uplink counts per LAG. Powers of 2 hash evenly; 1 only when single uplink is allowed</t>
        </is>
      </c>
    </row>
    <row r="17" ht="15" customHeight="1" s="29">
      <c r="A17" s="43" t="inlineStr">
        <is>
          <t>In_Rack_Max_m</t>
        </is>
      </c>
      <c r="B17" s="43" t="inlineStr">
        <is>
          <t>20</t>
        </is>
      </c>
      <c r="C17" s="43" t="inlineStr">
        <is>
          <t>MDF links at or below this use DAC/AOC</t>
        </is>
      </c>
    </row>
    <row r="18">
      <c r="A18" s="43" t="inlineStr">
        <is>
          <t>Endpoint_Speeds_Gbps</t>
        </is>
      </c>
      <c r="B18" s="43" t="inlineStr">
        <is>
          <t>1,2.5,5,10,25,50,100</t>
        </is>
      </c>
      <c r="C18" s="43" t="inlineStr">
        <is>
          <t>Speeds offered in the endpoint library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30" customWidth="1" style="28" min="2" max="2"/>
    <col width="14" customWidth="1" style="28" min="3" max="3"/>
    <col width="9" customWidth="1" style="28" min="4" max="4"/>
    <col width="12" customWidth="1" style="28" min="5" max="5"/>
    <col width="80" customWidth="1" style="28" min="6" max="6"/>
  </cols>
  <sheetData>
    <row r="1" ht="30" customHeight="1" s="29">
      <c r="A1" s="30" t="inlineStr">
        <is>
          <t>Data Dictionary</t>
        </is>
      </c>
    </row>
    <row r="2" ht="15" customHeight="1" s="29">
      <c r="A2" s="31" t="inlineStr">
        <is>
          <t>Every column, its unit and meaning. Bottom block = fields recommended for the next iteration.</t>
        </is>
      </c>
    </row>
    <row r="4" ht="31.5" customHeight="1" s="29">
      <c r="A4" s="42" t="inlineStr">
        <is>
          <t>Sheet</t>
        </is>
      </c>
      <c r="B4" s="42" t="inlineStr">
        <is>
          <t>Column</t>
        </is>
      </c>
      <c r="C4" s="42" t="inlineStr">
        <is>
          <t>Group</t>
        </is>
      </c>
      <c r="D4" s="42" t="inlineStr">
        <is>
          <t>Unit</t>
        </is>
      </c>
      <c r="E4" s="42" t="inlineStr">
        <is>
          <t>Type</t>
        </is>
      </c>
      <c r="F4" s="42" t="inlineStr">
        <is>
          <t>Description</t>
        </is>
      </c>
    </row>
    <row r="5" ht="15" customHeight="1" s="29">
      <c r="A5" s="43" t="inlineStr">
        <is>
          <t>Products</t>
        </is>
      </c>
      <c r="B5" s="43" t="inlineStr">
        <is>
          <t>Product_ID</t>
        </is>
      </c>
      <c r="C5" s="43" t="inlineStr">
        <is>
          <t>Identity</t>
        </is>
      </c>
      <c r="D5" s="43" t="n"/>
      <c r="E5" s="43" t="inlineStr">
        <is>
          <t>Text (key)</t>
        </is>
      </c>
      <c r="F5" s="51" t="inlineStr">
        <is>
          <t>Base model number (unique key used by every other sheet). e.g. GSM4212PX</t>
        </is>
      </c>
    </row>
    <row r="6" ht="15" customHeight="1" s="29">
      <c r="A6" s="43" t="inlineStr">
        <is>
          <t>Products</t>
        </is>
      </c>
      <c r="B6" s="43" t="inlineStr">
        <is>
          <t>Model_Name</t>
        </is>
      </c>
      <c r="C6" s="43" t="inlineStr">
        <is>
          <t>Identity</t>
        </is>
      </c>
      <c r="D6" s="43" t="n"/>
      <c r="E6" s="43" t="inlineStr">
        <is>
          <t>Text</t>
        </is>
      </c>
      <c r="F6" s="43" t="inlineStr">
        <is>
          <t>Marketing model name</t>
        </is>
      </c>
    </row>
    <row r="7" ht="15" customHeight="1" s="29">
      <c r="A7" s="43" t="inlineStr">
        <is>
          <t>Products</t>
        </is>
      </c>
      <c r="B7" s="43" t="inlineStr">
        <is>
          <t>Family</t>
        </is>
      </c>
      <c r="C7" s="43" t="inlineStr">
        <is>
          <t>Identity</t>
        </is>
      </c>
      <c r="D7" s="43" t="n"/>
      <c r="E7" s="43" t="inlineStr">
        <is>
          <t>List</t>
        </is>
      </c>
      <c r="F7" s="51" t="inlineStr">
        <is>
          <t>Product family/series (M4250, M4350, PR460X, WBE7xx...)</t>
        </is>
      </c>
    </row>
    <row r="8" ht="15" customHeight="1" s="29">
      <c r="A8" s="43" t="inlineStr">
        <is>
          <t>Products</t>
        </is>
      </c>
      <c r="B8" s="43" t="inlineStr">
        <is>
          <t>Product_Line</t>
        </is>
      </c>
      <c r="C8" s="43" t="inlineStr">
        <is>
          <t>Identity</t>
        </is>
      </c>
      <c r="D8" s="43" t="n"/>
      <c r="E8" s="43" t="inlineStr">
        <is>
          <t>Text</t>
        </is>
      </c>
      <c r="F8" s="51" t="inlineStr">
        <is>
          <t>Brand line (AV Line, AV and IT, Insight Pro)</t>
        </is>
      </c>
    </row>
    <row r="9" ht="15" customHeight="1" s="29">
      <c r="A9" s="43" t="inlineStr">
        <is>
          <t>Products</t>
        </is>
      </c>
      <c r="B9" s="43" t="inlineStr">
        <is>
          <t>Category</t>
        </is>
      </c>
      <c r="C9" s="43" t="inlineStr">
        <is>
          <t>Identity</t>
        </is>
      </c>
      <c r="D9" s="43" t="n"/>
      <c r="E9" s="43" t="inlineStr">
        <is>
          <t>List</t>
        </is>
      </c>
      <c r="F9" s="43" t="inlineStr">
        <is>
          <t>Switch / Router / Access Point</t>
        </is>
      </c>
    </row>
    <row r="10" ht="23.85" customHeight="1" s="29">
      <c r="A10" s="43" t="inlineStr">
        <is>
          <t>Products</t>
        </is>
      </c>
      <c r="B10" s="43" t="inlineStr">
        <is>
          <t>Role</t>
        </is>
      </c>
      <c r="C10" s="43" t="inlineStr">
        <is>
          <t>Identity</t>
        </is>
      </c>
      <c r="D10" s="43" t="n"/>
      <c r="E10" s="43" t="inlineStr">
        <is>
          <t>List</t>
        </is>
      </c>
      <c r="F10" s="51" t="inlineStr">
        <is>
          <t>Design role the tool can filter on (Access/Edge, Aggregation/Core, Gateway, Wireless AP)</t>
        </is>
      </c>
    </row>
    <row r="11" ht="15" customHeight="1" s="29">
      <c r="A11" s="43" t="inlineStr">
        <is>
          <t>Products</t>
        </is>
      </c>
      <c r="B11" s="43" t="inlineStr">
        <is>
          <t>Management</t>
        </is>
      </c>
      <c r="C11" s="43" t="inlineStr">
        <is>
          <t>Identity</t>
        </is>
      </c>
      <c r="D11" s="43" t="n"/>
      <c r="E11" s="43" t="inlineStr">
        <is>
          <t>Text</t>
        </is>
      </c>
      <c r="F11" s="43" t="inlineStr">
        <is>
          <t>Management planes supported</t>
        </is>
      </c>
    </row>
    <row r="12" ht="15" customHeight="1" s="29">
      <c r="A12" s="43" t="inlineStr">
        <is>
          <t>Products</t>
        </is>
      </c>
      <c r="B12" s="43" t="inlineStr">
        <is>
          <t>Lifecycle_Status</t>
        </is>
      </c>
      <c r="C12" s="43" t="inlineStr">
        <is>
          <t>Commercial</t>
        </is>
      </c>
      <c r="D12" s="43" t="n"/>
      <c r="E12" s="43" t="inlineStr">
        <is>
          <t>List</t>
        </is>
      </c>
      <c r="F12" s="51" t="inlineStr">
        <is>
          <t>Active / NPI / EOS / EOL - tool should only offer Active by default</t>
        </is>
      </c>
    </row>
    <row r="13" ht="15" customHeight="1" s="29">
      <c r="A13" s="43" t="inlineStr">
        <is>
          <t>Products</t>
        </is>
      </c>
      <c r="B13" s="43" t="inlineStr">
        <is>
          <t>List_Price_USD</t>
        </is>
      </c>
      <c r="C13" s="43" t="inlineStr">
        <is>
          <t>Commercial</t>
        </is>
      </c>
      <c r="D13" s="43" t="inlineStr">
        <is>
          <t>USD</t>
        </is>
      </c>
      <c r="E13" s="43" t="inlineStr">
        <is>
          <t>Number</t>
        </is>
      </c>
      <c r="F13" s="43" t="inlineStr">
        <is>
          <t>TO FILL from price book</t>
        </is>
      </c>
    </row>
    <row r="14" ht="15" customHeight="1" s="29">
      <c r="A14" s="43" t="inlineStr">
        <is>
          <t>Products</t>
        </is>
      </c>
      <c r="B14" s="43" t="inlineStr">
        <is>
          <t>Lead_Time_Wks</t>
        </is>
      </c>
      <c r="C14" s="43" t="inlineStr">
        <is>
          <t>Commercial</t>
        </is>
      </c>
      <c r="D14" s="43" t="inlineStr">
        <is>
          <t>weeks</t>
        </is>
      </c>
      <c r="E14" s="43" t="inlineStr">
        <is>
          <t>Number</t>
        </is>
      </c>
      <c r="F14" s="43" t="inlineStr">
        <is>
          <t>TO FILL from ops/distribution</t>
        </is>
      </c>
    </row>
    <row r="15" ht="15" customHeight="1" s="29">
      <c r="A15" s="43" t="inlineStr">
        <is>
          <t>Products</t>
        </is>
      </c>
      <c r="B15" s="43" t="inlineStr">
        <is>
          <t>EOS_Date</t>
        </is>
      </c>
      <c r="C15" s="43" t="inlineStr">
        <is>
          <t>Commercial</t>
        </is>
      </c>
      <c r="D15" s="43" t="inlineStr">
        <is>
          <t>date</t>
        </is>
      </c>
      <c r="E15" s="43" t="inlineStr">
        <is>
          <t>Date</t>
        </is>
      </c>
      <c r="F15" s="43" t="inlineStr">
        <is>
          <t>TO FILL (end of sale)</t>
        </is>
      </c>
    </row>
    <row r="16" ht="15" customHeight="1" s="29">
      <c r="A16" s="43" t="inlineStr">
        <is>
          <t>Products</t>
        </is>
      </c>
      <c r="B16" s="43" t="inlineStr">
        <is>
          <t>Form_Factor</t>
        </is>
      </c>
      <c r="C16" s="43" t="inlineStr">
        <is>
          <t>Physical</t>
        </is>
      </c>
      <c r="D16" s="43" t="n"/>
      <c r="E16" s="43" t="inlineStr">
        <is>
          <t>List</t>
        </is>
      </c>
      <c r="F16" s="51" t="inlineStr">
        <is>
          <t>Desktop / 1U rack / 2U rack / Wall-ceiling</t>
        </is>
      </c>
    </row>
    <row r="17" ht="15" customHeight="1" s="29">
      <c r="A17" s="43" t="inlineStr">
        <is>
          <t>Products</t>
        </is>
      </c>
      <c r="B17" s="43" t="inlineStr">
        <is>
          <t>Rack_Units</t>
        </is>
      </c>
      <c r="C17" s="43" t="inlineStr">
        <is>
          <t>Physical</t>
        </is>
      </c>
      <c r="D17" s="43" t="inlineStr">
        <is>
          <t>U</t>
        </is>
      </c>
      <c r="E17" s="43" t="inlineStr">
        <is>
          <t>Number</t>
        </is>
      </c>
      <c r="F17" s="43" t="inlineStr">
        <is>
          <t>Rack units (blank for non-rack)</t>
        </is>
      </c>
    </row>
    <row r="18" ht="15" customHeight="1" s="29">
      <c r="A18" s="43" t="inlineStr">
        <is>
          <t>Products</t>
        </is>
      </c>
      <c r="B18" s="43" t="inlineStr">
        <is>
          <t>Width_Class</t>
        </is>
      </c>
      <c r="C18" s="43" t="inlineStr">
        <is>
          <t>Physical</t>
        </is>
      </c>
      <c r="D18" s="43" t="n"/>
      <c r="E18" s="43" t="inlineStr">
        <is>
          <t>List</t>
        </is>
      </c>
      <c r="F18" s="51" t="inlineStr">
        <is>
          <t>Full width / Half width / Desktop / Ceiling-Wall (half-width = 2 per RU)</t>
        </is>
      </c>
    </row>
    <row r="19" ht="15" customHeight="1" s="29">
      <c r="A19" s="43" t="inlineStr">
        <is>
          <t>Products</t>
        </is>
      </c>
      <c r="B19" s="43" t="inlineStr">
        <is>
          <t>Width_mm</t>
        </is>
      </c>
      <c r="C19" s="43" t="inlineStr">
        <is>
          <t>Physical</t>
        </is>
      </c>
      <c r="D19" s="43" t="inlineStr">
        <is>
          <t>mm</t>
        </is>
      </c>
      <c r="E19" s="43" t="inlineStr">
        <is>
          <t>Number</t>
        </is>
      </c>
      <c r="F19" s="43" t="inlineStr">
        <is>
          <t>Width</t>
        </is>
      </c>
    </row>
    <row r="20" ht="15" customHeight="1" s="29">
      <c r="A20" s="43" t="inlineStr">
        <is>
          <t>Products</t>
        </is>
      </c>
      <c r="B20" s="43" t="inlineStr">
        <is>
          <t>Depth_mm</t>
        </is>
      </c>
      <c r="C20" s="43" t="inlineStr">
        <is>
          <t>Physical</t>
        </is>
      </c>
      <c r="D20" s="43" t="inlineStr">
        <is>
          <t>mm</t>
        </is>
      </c>
      <c r="E20" s="43" t="inlineStr">
        <is>
          <t>Number</t>
        </is>
      </c>
      <c r="F20" s="43" t="inlineStr">
        <is>
          <t>Depth (rack depth check)</t>
        </is>
      </c>
    </row>
    <row r="21" ht="15" customHeight="1" s="29">
      <c r="A21" s="43" t="inlineStr">
        <is>
          <t>Products</t>
        </is>
      </c>
      <c r="B21" s="43" t="inlineStr">
        <is>
          <t>Height_mm</t>
        </is>
      </c>
      <c r="C21" s="43" t="inlineStr">
        <is>
          <t>Physical</t>
        </is>
      </c>
      <c r="D21" s="43" t="inlineStr">
        <is>
          <t>mm</t>
        </is>
      </c>
      <c r="E21" s="43" t="inlineStr">
        <is>
          <t>Number</t>
        </is>
      </c>
      <c r="F21" s="43" t="inlineStr">
        <is>
          <t>Height</t>
        </is>
      </c>
    </row>
    <row r="22" ht="15" customHeight="1" s="29">
      <c r="A22" s="43" t="inlineStr">
        <is>
          <t>Products</t>
        </is>
      </c>
      <c r="B22" s="43" t="inlineStr">
        <is>
          <t>Weight_kg</t>
        </is>
      </c>
      <c r="C22" s="43" t="inlineStr">
        <is>
          <t>Physical</t>
        </is>
      </c>
      <c r="D22" s="43" t="inlineStr">
        <is>
          <t>kg</t>
        </is>
      </c>
      <c r="E22" s="43" t="inlineStr">
        <is>
          <t>Number</t>
        </is>
      </c>
      <c r="F22" s="43" t="inlineStr">
        <is>
          <t>Unit weight</t>
        </is>
      </c>
    </row>
    <row r="23" ht="15" customHeight="1" s="29">
      <c r="A23" s="43" t="inlineStr">
        <is>
          <t>Products</t>
        </is>
      </c>
      <c r="B23" s="43" t="inlineStr">
        <is>
          <t>Ports_1G_RJ45</t>
        </is>
      </c>
      <c r="C23" s="43" t="inlineStr">
        <is>
          <t>Ports</t>
        </is>
      </c>
      <c r="D23" s="43" t="inlineStr">
        <is>
          <t>count</t>
        </is>
      </c>
      <c r="E23" s="43" t="inlineStr">
        <is>
          <t>Number</t>
        </is>
      </c>
      <c r="F23" s="51" t="inlineStr">
        <is>
          <t>10/100/1000BASE-T RJ45 ports (PoE and non-PoE)</t>
        </is>
      </c>
    </row>
    <row r="24" ht="15" customHeight="1" s="29">
      <c r="A24" s="43" t="inlineStr">
        <is>
          <t>Products</t>
        </is>
      </c>
      <c r="B24" s="43" t="inlineStr">
        <is>
          <t>Ports_2.5G_RJ45</t>
        </is>
      </c>
      <c r="C24" s="43" t="inlineStr">
        <is>
          <t>Ports</t>
        </is>
      </c>
      <c r="D24" s="43" t="inlineStr">
        <is>
          <t>count</t>
        </is>
      </c>
      <c r="E24" s="43" t="inlineStr">
        <is>
          <t>Number</t>
        </is>
      </c>
      <c r="F24" s="43" t="inlineStr">
        <is>
          <t>Up-to-2.5GBASE-T RJ45 ports</t>
        </is>
      </c>
    </row>
    <row r="25" ht="15" customHeight="1" s="29">
      <c r="A25" s="43" t="inlineStr">
        <is>
          <t>Products</t>
        </is>
      </c>
      <c r="B25" s="43" t="inlineStr">
        <is>
          <t>Ports_10G_RJ45</t>
        </is>
      </c>
      <c r="C25" s="43" t="inlineStr">
        <is>
          <t>Ports</t>
        </is>
      </c>
      <c r="D25" s="43" t="inlineStr">
        <is>
          <t>count</t>
        </is>
      </c>
      <c r="E25" s="43" t="inlineStr">
        <is>
          <t>Number</t>
        </is>
      </c>
      <c r="F25" s="43" t="inlineStr">
        <is>
          <t>Multi-gig up-to-10GBASE-T RJ45 ports</t>
        </is>
      </c>
    </row>
    <row r="26" ht="15" customHeight="1" s="29">
      <c r="A26" s="43" t="inlineStr">
        <is>
          <t>Products</t>
        </is>
      </c>
      <c r="B26" s="43" t="inlineStr">
        <is>
          <t>Ports_SFP_1G</t>
        </is>
      </c>
      <c r="C26" s="43" t="inlineStr">
        <is>
          <t>Ports</t>
        </is>
      </c>
      <c r="D26" s="43" t="inlineStr">
        <is>
          <t>count</t>
        </is>
      </c>
      <c r="E26" s="43" t="inlineStr">
        <is>
          <t>Number</t>
        </is>
      </c>
      <c r="F26" s="43" t="inlineStr">
        <is>
          <t>1G SFP cages</t>
        </is>
      </c>
    </row>
    <row r="27" ht="15" customHeight="1" s="29">
      <c r="A27" s="43" t="inlineStr">
        <is>
          <t>Products</t>
        </is>
      </c>
      <c r="B27" s="43" t="inlineStr">
        <is>
          <t>Ports_SFP_2.5G</t>
        </is>
      </c>
      <c r="C27" s="43" t="inlineStr">
        <is>
          <t>Ports</t>
        </is>
      </c>
      <c r="D27" s="43" t="inlineStr">
        <is>
          <t>count</t>
        </is>
      </c>
      <c r="E27" s="43" t="inlineStr">
        <is>
          <t>Number</t>
        </is>
      </c>
      <c r="F27" s="43" t="inlineStr">
        <is>
          <t>1G/2.5G SFP cages</t>
        </is>
      </c>
    </row>
    <row r="28" ht="15" customHeight="1" s="29">
      <c r="A28" s="43" t="inlineStr">
        <is>
          <t>Products</t>
        </is>
      </c>
      <c r="B28" s="43" t="inlineStr">
        <is>
          <t>Ports_SFP+_10G</t>
        </is>
      </c>
      <c r="C28" s="43" t="inlineStr">
        <is>
          <t>Ports</t>
        </is>
      </c>
      <c r="D28" s="43" t="inlineStr">
        <is>
          <t>count</t>
        </is>
      </c>
      <c r="E28" s="43" t="inlineStr">
        <is>
          <t>Number</t>
        </is>
      </c>
      <c r="F28" s="43" t="inlineStr">
        <is>
          <t>1G/10G SFP+ cages</t>
        </is>
      </c>
    </row>
    <row r="29" ht="15" customHeight="1" s="29">
      <c r="A29" s="43" t="inlineStr">
        <is>
          <t>Products</t>
        </is>
      </c>
      <c r="B29" s="43" t="inlineStr">
        <is>
          <t>Ports_SFP28_25G</t>
        </is>
      </c>
      <c r="C29" s="43" t="inlineStr">
        <is>
          <t>Ports</t>
        </is>
      </c>
      <c r="D29" s="43" t="inlineStr">
        <is>
          <t>count</t>
        </is>
      </c>
      <c r="E29" s="43" t="inlineStr">
        <is>
          <t>Number</t>
        </is>
      </c>
      <c r="F29" s="43" t="inlineStr">
        <is>
          <t>10G/25G SFP28 cages</t>
        </is>
      </c>
    </row>
    <row r="30" ht="15" customHeight="1" s="29">
      <c r="A30" s="43" t="inlineStr">
        <is>
          <t>Products</t>
        </is>
      </c>
      <c r="B30" s="43" t="inlineStr">
        <is>
          <t>Ports_QSFP28_100G</t>
        </is>
      </c>
      <c r="C30" s="43" t="inlineStr">
        <is>
          <t>Ports</t>
        </is>
      </c>
      <c r="D30" s="43" t="inlineStr">
        <is>
          <t>count</t>
        </is>
      </c>
      <c r="E30" s="43" t="inlineStr">
        <is>
          <t>Number</t>
        </is>
      </c>
      <c r="F30" s="51" t="inlineStr">
        <is>
          <t>40G/100G QSFP28 (4x25G breakout on M4350)</t>
        </is>
      </c>
    </row>
    <row r="31" ht="15" customHeight="1" s="29">
      <c r="A31" s="43" t="inlineStr">
        <is>
          <t>Products</t>
        </is>
      </c>
      <c r="B31" s="43" t="inlineStr">
        <is>
          <t>Ports_5G_RJ45</t>
        </is>
      </c>
      <c r="C31" s="43" t="inlineStr">
        <is>
          <t>Ports</t>
        </is>
      </c>
      <c r="D31" s="43" t="inlineStr">
        <is>
          <t>count</t>
        </is>
      </c>
      <c r="E31" s="43" t="inlineStr">
        <is>
          <t>Number</t>
        </is>
      </c>
      <c r="F31" s="51" t="inlineStr">
        <is>
          <t>Up-to-5GBASE-T RJ45 ports (future-ready column)</t>
        </is>
      </c>
    </row>
    <row r="32" ht="15" customHeight="1" s="29">
      <c r="A32" s="43" t="inlineStr">
        <is>
          <t>Products</t>
        </is>
      </c>
      <c r="B32" s="43" t="inlineStr">
        <is>
          <t>Ports_SFP56_50G</t>
        </is>
      </c>
      <c r="C32" s="43" t="inlineStr">
        <is>
          <t>Ports</t>
        </is>
      </c>
      <c r="D32" s="43" t="inlineStr">
        <is>
          <t>count</t>
        </is>
      </c>
      <c r="E32" s="43" t="inlineStr">
        <is>
          <t>Number</t>
        </is>
      </c>
      <c r="F32" s="51" t="inlineStr">
        <is>
          <t>SFP56 10/25/50G cages (future-ready column)</t>
        </is>
      </c>
    </row>
    <row r="33" ht="15" customHeight="1" s="29">
      <c r="A33" s="43" t="inlineStr">
        <is>
          <t>Products</t>
        </is>
      </c>
      <c r="B33" s="43" t="inlineStr">
        <is>
          <t>Ports_QSFP56_200G</t>
        </is>
      </c>
      <c r="C33" s="43" t="inlineStr">
        <is>
          <t>Ports</t>
        </is>
      </c>
      <c r="D33" s="43" t="inlineStr">
        <is>
          <t>count</t>
        </is>
      </c>
      <c r="E33" s="43" t="inlineStr">
        <is>
          <t>Number</t>
        </is>
      </c>
      <c r="F33" s="43" t="inlineStr">
        <is>
          <t>QSFP56 200G cages (future-ready column)</t>
        </is>
      </c>
    </row>
    <row r="34" ht="15" customHeight="1" s="29">
      <c r="A34" s="43" t="inlineStr">
        <is>
          <t>Products</t>
        </is>
      </c>
      <c r="B34" s="43" t="inlineStr">
        <is>
          <t>Ports_QSFPDD_400G</t>
        </is>
      </c>
      <c r="C34" s="43" t="inlineStr">
        <is>
          <t>Ports</t>
        </is>
      </c>
      <c r="D34" s="43" t="inlineStr">
        <is>
          <t>count</t>
        </is>
      </c>
      <c r="E34" s="43" t="inlineStr">
        <is>
          <t>Number</t>
        </is>
      </c>
      <c r="F34" s="43" t="inlineStr">
        <is>
          <t>QSFP-DD 400G cages (future-ready column)</t>
        </is>
      </c>
    </row>
    <row r="35" ht="15" customHeight="1" s="29">
      <c r="A35" s="43" t="inlineStr">
        <is>
          <t>Products</t>
        </is>
      </c>
      <c r="B35" s="43" t="inlineStr">
        <is>
          <t>Ports_Combo_10G</t>
        </is>
      </c>
      <c r="C35" s="43" t="inlineStr">
        <is>
          <t>Ports</t>
        </is>
      </c>
      <c r="D35" s="43" t="inlineStr">
        <is>
          <t>count</t>
        </is>
      </c>
      <c r="E35" s="43" t="inlineStr">
        <is>
          <t>Number</t>
        </is>
      </c>
      <c r="F35" s="43" t="inlineStr">
        <is>
          <t>Combo 10GBASE-T/SFP+ (count once)</t>
        </is>
      </c>
    </row>
    <row r="36" ht="15" customHeight="1" s="29">
      <c r="A36" s="43" t="inlineStr">
        <is>
          <t>Products</t>
        </is>
      </c>
      <c r="B36" s="43" t="inlineStr">
        <is>
          <t>Total_Ports</t>
        </is>
      </c>
      <c r="C36" s="43" t="inlineStr">
        <is>
          <t>Ports</t>
        </is>
      </c>
      <c r="D36" s="43" t="inlineStr">
        <is>
          <t>count</t>
        </is>
      </c>
      <c r="E36" s="43" t="inlineStr">
        <is>
          <t>Formula</t>
        </is>
      </c>
      <c r="F36" s="43" t="inlineStr">
        <is>
          <t>CALCULATED: sum of all port columns</t>
        </is>
      </c>
    </row>
    <row r="37" ht="15" customHeight="1" s="29">
      <c r="A37" s="43" t="inlineStr">
        <is>
          <t>Products</t>
        </is>
      </c>
      <c r="B37" s="43" t="inlineStr">
        <is>
          <t>Max_1G_SFP_Modules</t>
        </is>
      </c>
      <c r="C37" s="43" t="inlineStr">
        <is>
          <t>Ports</t>
        </is>
      </c>
      <c r="D37" s="43" t="inlineStr">
        <is>
          <t>count</t>
        </is>
      </c>
      <c r="E37" s="43" t="inlineStr">
        <is>
          <t>Number</t>
        </is>
      </c>
      <c r="F37" s="51" t="inlineStr">
        <is>
          <t>Machine-readable cap on 1G SFP modules (blank = no cap)</t>
        </is>
      </c>
    </row>
    <row r="38" ht="15" customHeight="1" s="29">
      <c r="A38" s="43" t="inlineStr">
        <is>
          <t>Products</t>
        </is>
      </c>
      <c r="B38" s="43" t="inlineStr">
        <is>
          <t>Port_Speed_Constraints</t>
        </is>
      </c>
      <c r="C38" s="43" t="inlineStr">
        <is>
          <t>Ports</t>
        </is>
      </c>
      <c r="D38" s="43" t="n"/>
      <c r="E38" s="43" t="inlineStr">
        <is>
          <t>Text</t>
        </is>
      </c>
      <c r="F38" s="51" t="inlineStr">
        <is>
          <t>Speed/port-range caveats the tool must respect</t>
        </is>
      </c>
    </row>
    <row r="39" ht="15" customHeight="1" s="29">
      <c r="A39" s="43" t="inlineStr">
        <is>
          <t>Products</t>
        </is>
      </c>
      <c r="B39" s="43" t="inlineStr">
        <is>
          <t>PoE_Ports</t>
        </is>
      </c>
      <c r="C39" s="43" t="inlineStr">
        <is>
          <t>PoE (PSE)</t>
        </is>
      </c>
      <c r="D39" s="43" t="inlineStr">
        <is>
          <t>count</t>
        </is>
      </c>
      <c r="E39" s="43" t="inlineStr">
        <is>
          <t>Number</t>
        </is>
      </c>
      <c r="F39" s="43" t="inlineStr">
        <is>
          <t>Number of PoE-capable ports</t>
        </is>
      </c>
    </row>
    <row r="40" ht="15" customHeight="1" s="29">
      <c r="A40" s="43" t="inlineStr">
        <is>
          <t>Products</t>
        </is>
      </c>
      <c r="B40" s="43" t="inlineStr">
        <is>
          <t>PoE_Standard</t>
        </is>
      </c>
      <c r="C40" s="43" t="inlineStr">
        <is>
          <t>PoE (PSE)</t>
        </is>
      </c>
      <c r="D40" s="43" t="n"/>
      <c r="E40" s="43" t="inlineStr">
        <is>
          <t>List</t>
        </is>
      </c>
      <c r="F40" s="51" t="inlineStr">
        <is>
          <t>None / 802.3at PoE+ / 802.3bt Ultra90 PoE++ / PD (device consumes PoE)</t>
        </is>
      </c>
    </row>
    <row r="41" ht="15" customHeight="1" s="29">
      <c r="A41" s="43" t="inlineStr">
        <is>
          <t>Products</t>
        </is>
      </c>
      <c r="B41" s="43" t="inlineStr">
        <is>
          <t>PoE_Max_W_per_Port</t>
        </is>
      </c>
      <c r="C41" s="43" t="inlineStr">
        <is>
          <t>PoE (PSE)</t>
        </is>
      </c>
      <c r="D41" s="43" t="inlineStr">
        <is>
          <t>W</t>
        </is>
      </c>
      <c r="E41" s="43" t="inlineStr">
        <is>
          <t>Number</t>
        </is>
      </c>
      <c r="F41" s="43" t="inlineStr">
        <is>
          <t>Max class per port (30 or 90W)</t>
        </is>
      </c>
    </row>
    <row r="42" ht="15" customHeight="1" s="29">
      <c r="A42" s="43" t="inlineStr">
        <is>
          <t>Products</t>
        </is>
      </c>
      <c r="B42" s="43" t="inlineStr">
        <is>
          <t>PoE_Budget_Base_W</t>
        </is>
      </c>
      <c r="C42" s="43" t="inlineStr">
        <is>
          <t>PoE (PSE)</t>
        </is>
      </c>
      <c r="D42" s="43" t="inlineStr">
        <is>
          <t>W</t>
        </is>
      </c>
      <c r="E42" s="43" t="inlineStr">
        <is>
          <t>Number</t>
        </is>
      </c>
      <c r="F42" s="43" t="inlineStr">
        <is>
          <t>Budget as shipped (no extra PSU)</t>
        </is>
      </c>
    </row>
    <row r="43" ht="15" customHeight="1" s="29">
      <c r="A43" s="43" t="inlineStr">
        <is>
          <t>Products</t>
        </is>
      </c>
      <c r="B43" s="43" t="inlineStr">
        <is>
          <t>PoE_Budget_Max_W</t>
        </is>
      </c>
      <c r="C43" s="43" t="inlineStr">
        <is>
          <t>PoE (PSE)</t>
        </is>
      </c>
      <c r="D43" s="43" t="inlineStr">
        <is>
          <t>W</t>
        </is>
      </c>
      <c r="E43" s="43" t="inlineStr">
        <is>
          <t>Number</t>
        </is>
      </c>
      <c r="F43" s="51" t="inlineStr">
        <is>
          <t>Max budget with best PSU config (see PSU_PoE_Matrix)</t>
        </is>
      </c>
    </row>
    <row r="44" ht="15" customHeight="1" s="29">
      <c r="A44" s="43" t="inlineStr">
        <is>
          <t>Products</t>
        </is>
      </c>
      <c r="B44" s="43" t="inlineStr">
        <is>
          <t>PoE_Budget_Redundant_Max_W</t>
        </is>
      </c>
      <c r="C44" s="43" t="inlineStr">
        <is>
          <t>PoE (PSE)</t>
        </is>
      </c>
      <c r="D44" s="43" t="inlineStr">
        <is>
          <t>W</t>
        </is>
      </c>
      <c r="E44" s="43" t="inlineStr">
        <is>
          <t>Number</t>
        </is>
      </c>
      <c r="F44" s="43" t="inlineStr">
        <is>
          <t>Max protected budget when one PSU fails</t>
        </is>
      </c>
    </row>
    <row r="45" ht="15" customHeight="1" s="29">
      <c r="A45" s="43" t="inlineStr">
        <is>
          <t>Products</t>
        </is>
      </c>
      <c r="B45" s="43" t="inlineStr">
        <is>
          <t>PoE_Avg_W_per_Port_at_Max</t>
        </is>
      </c>
      <c r="C45" s="43" t="inlineStr">
        <is>
          <t>PoE (PSE)</t>
        </is>
      </c>
      <c r="D45" s="43" t="inlineStr">
        <is>
          <t>W</t>
        </is>
      </c>
      <c r="E45" s="43" t="inlineStr">
        <is>
          <t>Formula</t>
        </is>
      </c>
      <c r="F45" s="51" t="inlineStr">
        <is>
          <t>CALCULATED: max budget / PoE ports (quick 'can every port run X W' check)</t>
        </is>
      </c>
    </row>
    <row r="46" ht="15" customHeight="1" s="29">
      <c r="A46" s="43" t="inlineStr">
        <is>
          <t>Products</t>
        </is>
      </c>
      <c r="B46" s="43" t="inlineStr">
        <is>
          <t>PD_Max_Draw_W</t>
        </is>
      </c>
      <c r="C46" s="43" t="inlineStr">
        <is>
          <t>PoE (PD)</t>
        </is>
      </c>
      <c r="D46" s="43" t="inlineStr">
        <is>
          <t>W</t>
        </is>
      </c>
      <c r="E46" s="43" t="inlineStr">
        <is>
          <t>Number</t>
        </is>
      </c>
      <c r="F46" s="51" t="inlineStr">
        <is>
          <t>For powered devices (APs etc.): max draw to subtract from switch budget</t>
        </is>
      </c>
    </row>
    <row r="47" ht="15" customHeight="1" s="29">
      <c r="A47" s="43" t="inlineStr">
        <is>
          <t>Products</t>
        </is>
      </c>
      <c r="B47" s="43" t="inlineStr">
        <is>
          <t>PD_Required_PoE</t>
        </is>
      </c>
      <c r="C47" s="43" t="inlineStr">
        <is>
          <t>PoE (PD)</t>
        </is>
      </c>
      <c r="D47" s="43" t="n"/>
      <c r="E47" s="43" t="inlineStr">
        <is>
          <t>Text</t>
        </is>
      </c>
      <c r="F47" s="43" t="inlineStr">
        <is>
          <t>PoE standard needed for full function</t>
        </is>
      </c>
    </row>
    <row r="48" ht="15" customHeight="1" s="29">
      <c r="A48" s="43" t="inlineStr">
        <is>
          <t>Products</t>
        </is>
      </c>
      <c r="B48" s="43" t="inlineStr">
        <is>
          <t>PD_Uplink_Speed</t>
        </is>
      </c>
      <c r="C48" s="43" t="inlineStr">
        <is>
          <t>PoE (PD)</t>
        </is>
      </c>
      <c r="D48" s="43" t="n"/>
      <c r="E48" s="43" t="inlineStr">
        <is>
          <t>Text</t>
        </is>
      </c>
      <c r="F48" s="43" t="inlineStr">
        <is>
          <t>Uplink port speed the device needs</t>
        </is>
      </c>
    </row>
    <row r="49" ht="15" customHeight="1" s="29">
      <c r="A49" s="43" t="inlineStr">
        <is>
          <t>Products</t>
        </is>
      </c>
      <c r="B49" s="43" t="inlineStr">
        <is>
          <t>PSU_Type</t>
        </is>
      </c>
      <c r="C49" s="43" t="inlineStr">
        <is>
          <t>Power</t>
        </is>
      </c>
      <c r="D49" s="43" t="n"/>
      <c r="E49" s="43" t="inlineStr">
        <is>
          <t>Text</t>
        </is>
      </c>
      <c r="F49" s="51" t="inlineStr">
        <is>
          <t>Internal fixed / external adapter / modular</t>
        </is>
      </c>
    </row>
    <row r="50" ht="15" customHeight="1" s="29">
      <c r="A50" s="43" t="inlineStr">
        <is>
          <t>Products</t>
        </is>
      </c>
      <c r="B50" s="43" t="inlineStr">
        <is>
          <t>PSU_Internal_W</t>
        </is>
      </c>
      <c r="C50" s="43" t="inlineStr">
        <is>
          <t>Power</t>
        </is>
      </c>
      <c r="D50" s="43" t="inlineStr">
        <is>
          <t>W</t>
        </is>
      </c>
      <c r="E50" s="43" t="inlineStr">
        <is>
          <t>Number</t>
        </is>
      </c>
      <c r="F50" s="43" t="inlineStr">
        <is>
          <t>Internal/included PSU rating</t>
        </is>
      </c>
    </row>
    <row r="51" ht="15" customHeight="1" s="29">
      <c r="A51" s="43" t="inlineStr">
        <is>
          <t>Products</t>
        </is>
      </c>
      <c r="B51" s="43" t="inlineStr">
        <is>
          <t>PSU_Fixed_Qty</t>
        </is>
      </c>
      <c r="C51" s="43" t="inlineStr">
        <is>
          <t>Power</t>
        </is>
      </c>
      <c r="D51" s="43" t="inlineStr">
        <is>
          <t>count</t>
        </is>
      </c>
      <c r="E51" s="43" t="inlineStr">
        <is>
          <t>Number</t>
        </is>
      </c>
      <c r="F51" s="43" t="inlineStr">
        <is>
          <t>Fixed/included PSUs</t>
        </is>
      </c>
    </row>
    <row r="52" ht="15" customHeight="1" s="29">
      <c r="A52" s="43" t="inlineStr">
        <is>
          <t>Products</t>
        </is>
      </c>
      <c r="B52" s="43" t="inlineStr">
        <is>
          <t>PSU_Modular_Slots</t>
        </is>
      </c>
      <c r="C52" s="43" t="inlineStr">
        <is>
          <t>Power</t>
        </is>
      </c>
      <c r="D52" s="43" t="inlineStr">
        <is>
          <t>count</t>
        </is>
      </c>
      <c r="E52" s="43" t="inlineStr">
        <is>
          <t>Number</t>
        </is>
      </c>
      <c r="F52" s="51" t="inlineStr">
        <is>
          <t>Empty modular PSU slots / extra DC inputs</t>
        </is>
      </c>
    </row>
    <row r="53" ht="15" customHeight="1" s="29">
      <c r="A53" s="43" t="inlineStr">
        <is>
          <t>Products</t>
        </is>
      </c>
      <c r="B53" s="43" t="inlineStr">
        <is>
          <t>PSU_Compat_Group</t>
        </is>
      </c>
      <c r="C53" s="43" t="inlineStr">
        <is>
          <t>Power</t>
        </is>
      </c>
      <c r="D53" s="43" t="n"/>
      <c r="E53" s="43" t="inlineStr">
        <is>
          <t>Text</t>
        </is>
      </c>
      <c r="F53" s="51" t="inlineStr">
        <is>
          <t>Which modular PSU family fits (details in Compatibility)</t>
        </is>
      </c>
    </row>
    <row r="54" ht="15" customHeight="1" s="29">
      <c r="A54" s="43" t="inlineStr">
        <is>
          <t>Products</t>
        </is>
      </c>
      <c r="B54" s="43" t="inlineStr">
        <is>
          <t>Power_Idle_W</t>
        </is>
      </c>
      <c r="C54" s="43" t="inlineStr">
        <is>
          <t>Power</t>
        </is>
      </c>
      <c r="D54" s="43" t="inlineStr">
        <is>
          <t>W</t>
        </is>
      </c>
      <c r="E54" s="43" t="inlineStr">
        <is>
          <t>Number</t>
        </is>
      </c>
      <c r="F54" s="43" t="inlineStr">
        <is>
          <t>Idle/standby consumption</t>
        </is>
      </c>
    </row>
    <row r="55" ht="15" customHeight="1" s="29">
      <c r="A55" s="43" t="inlineStr">
        <is>
          <t>Products</t>
        </is>
      </c>
      <c r="B55" s="43" t="inlineStr">
        <is>
          <t>Power_Max_NoPoE_W</t>
        </is>
      </c>
      <c r="C55" s="43" t="inlineStr">
        <is>
          <t>Power</t>
        </is>
      </c>
      <c r="D55" s="43" t="inlineStr">
        <is>
          <t>W</t>
        </is>
      </c>
      <c r="E55" s="43" t="inlineStr">
        <is>
          <t>Number</t>
        </is>
      </c>
      <c r="F55" s="43" t="inlineStr">
        <is>
          <t>All ports, line rate, no PoE</t>
        </is>
      </c>
    </row>
    <row r="56" ht="15" customHeight="1" s="29">
      <c r="A56" s="43" t="inlineStr">
        <is>
          <t>Products</t>
        </is>
      </c>
      <c r="B56" s="43" t="inlineStr">
        <is>
          <t>Power_Max_FullPoE_W</t>
        </is>
      </c>
      <c r="C56" s="43" t="inlineStr">
        <is>
          <t>Power</t>
        </is>
      </c>
      <c r="D56" s="43" t="inlineStr">
        <is>
          <t>W</t>
        </is>
      </c>
      <c r="E56" s="43" t="inlineStr">
        <is>
          <t>Number</t>
        </is>
      </c>
      <c r="F56" s="51" t="inlineStr">
        <is>
          <t>All ports, max PoE budget (max PSU config)</t>
        </is>
      </c>
    </row>
    <row r="57" ht="15" customHeight="1" s="29">
      <c r="A57" s="43" t="inlineStr">
        <is>
          <t>Products</t>
        </is>
      </c>
      <c r="B57" s="43" t="inlineStr">
        <is>
          <t>Heat_Max_BTU_hr</t>
        </is>
      </c>
      <c r="C57" s="43" t="inlineStr">
        <is>
          <t>Power</t>
        </is>
      </c>
      <c r="D57" s="43" t="inlineStr">
        <is>
          <t>BTU/hr</t>
        </is>
      </c>
      <c r="E57" s="43" t="inlineStr">
        <is>
          <t>Formula</t>
        </is>
      </c>
      <c r="F57" s="51" t="inlineStr">
        <is>
          <t>CALCULATED: max power x 3.412 (UPS/HVAC sizing)</t>
        </is>
      </c>
    </row>
    <row r="58" ht="15" customHeight="1" s="29">
      <c r="A58" s="43" t="inlineStr">
        <is>
          <t>Products</t>
        </is>
      </c>
      <c r="B58" s="43" t="inlineStr">
        <is>
          <t>Switching_Fabric_Gbps</t>
        </is>
      </c>
      <c r="C58" s="43" t="inlineStr">
        <is>
          <t>Performance</t>
        </is>
      </c>
      <c r="D58" s="43" t="inlineStr">
        <is>
          <t>Gbps</t>
        </is>
      </c>
      <c r="E58" s="43" t="inlineStr">
        <is>
          <t>Number</t>
        </is>
      </c>
      <c r="F58" s="43" t="inlineStr">
        <is>
          <t>Non-blocking fabric</t>
        </is>
      </c>
    </row>
    <row r="59" ht="15" customHeight="1" s="29">
      <c r="A59" s="43" t="inlineStr">
        <is>
          <t>Products</t>
        </is>
      </c>
      <c r="B59" s="43" t="inlineStr">
        <is>
          <t>Throughput_Mpps</t>
        </is>
      </c>
      <c r="C59" s="43" t="inlineStr">
        <is>
          <t>Performance</t>
        </is>
      </c>
      <c r="D59" s="43" t="inlineStr">
        <is>
          <t>Mpps</t>
        </is>
      </c>
      <c r="E59" s="43" t="inlineStr">
        <is>
          <t>Number</t>
        </is>
      </c>
      <c r="F59" s="43" t="inlineStr">
        <is>
          <t>64-byte forwarding rate</t>
        </is>
      </c>
    </row>
    <row r="60" ht="15" customHeight="1" s="29">
      <c r="A60" s="43" t="inlineStr">
        <is>
          <t>Products</t>
        </is>
      </c>
      <c r="B60" s="43" t="inlineStr">
        <is>
          <t>Packet_Buffer_Mb</t>
        </is>
      </c>
      <c r="C60" s="43" t="inlineStr">
        <is>
          <t>Performance</t>
        </is>
      </c>
      <c r="D60" s="43" t="inlineStr">
        <is>
          <t>Mb</t>
        </is>
      </c>
      <c r="E60" s="43" t="inlineStr">
        <is>
          <t>Number</t>
        </is>
      </c>
      <c r="F60" s="43" t="inlineStr">
        <is>
          <t>Packet buffer (important for AV bursts)</t>
        </is>
      </c>
    </row>
    <row r="61" ht="15" customHeight="1" s="29">
      <c r="A61" s="43" t="inlineStr">
        <is>
          <t>Products</t>
        </is>
      </c>
      <c r="B61" s="43" t="inlineStr">
        <is>
          <t>RAM_GB</t>
        </is>
      </c>
      <c r="C61" s="43" t="inlineStr">
        <is>
          <t>Performance</t>
        </is>
      </c>
      <c r="D61" s="43" t="inlineStr">
        <is>
          <t>GB</t>
        </is>
      </c>
      <c r="E61" s="43" t="inlineStr">
        <is>
          <t>Number</t>
        </is>
      </c>
      <c r="F61" s="43" t="inlineStr">
        <is>
          <t>System memory</t>
        </is>
      </c>
    </row>
    <row r="62" ht="15" customHeight="1" s="29">
      <c r="A62" s="43" t="inlineStr">
        <is>
          <t>Products</t>
        </is>
      </c>
      <c r="B62" s="43" t="inlineStr">
        <is>
          <t>CPU</t>
        </is>
      </c>
      <c r="C62" s="43" t="inlineStr">
        <is>
          <t>Performance</t>
        </is>
      </c>
      <c r="D62" s="43" t="n"/>
      <c r="E62" s="43" t="inlineStr">
        <is>
          <t>Text</t>
        </is>
      </c>
      <c r="F62" s="43" t="inlineStr">
        <is>
          <t>CPU</t>
        </is>
      </c>
    </row>
    <row r="63" ht="15" customHeight="1" s="29">
      <c r="A63" s="43" t="inlineStr">
        <is>
          <t>Products</t>
        </is>
      </c>
      <c r="B63" s="43" t="inlineStr">
        <is>
          <t>MAC_Table</t>
        </is>
      </c>
      <c r="C63" s="43" t="inlineStr">
        <is>
          <t>Performance</t>
        </is>
      </c>
      <c r="D63" s="43" t="inlineStr">
        <is>
          <t>entries</t>
        </is>
      </c>
      <c r="E63" s="43" t="inlineStr">
        <is>
          <t>Number</t>
        </is>
      </c>
      <c r="F63" s="43" t="inlineStr">
        <is>
          <t>MAC address table</t>
        </is>
      </c>
    </row>
    <row r="64" ht="15" customHeight="1" s="29">
      <c r="A64" s="43" t="inlineStr">
        <is>
          <t>Products</t>
        </is>
      </c>
      <c r="B64" s="43" t="inlineStr">
        <is>
          <t>Max_VLANs</t>
        </is>
      </c>
      <c r="C64" s="43" t="inlineStr">
        <is>
          <t>Performance</t>
        </is>
      </c>
      <c r="D64" s="43" t="inlineStr">
        <is>
          <t>count</t>
        </is>
      </c>
      <c r="E64" s="43" t="inlineStr">
        <is>
          <t>Number</t>
        </is>
      </c>
      <c r="F64" s="43" t="inlineStr">
        <is>
          <t>Max concurrent VLANs</t>
        </is>
      </c>
    </row>
    <row r="65" ht="15" customHeight="1" s="29">
      <c r="A65" s="43" t="inlineStr">
        <is>
          <t>Products</t>
        </is>
      </c>
      <c r="B65" s="43" t="inlineStr">
        <is>
          <t>IGMP_Groups</t>
        </is>
      </c>
      <c r="C65" s="43" t="inlineStr">
        <is>
          <t>Performance</t>
        </is>
      </c>
      <c r="D65" s="43" t="n"/>
      <c r="E65" s="43" t="inlineStr">
        <is>
          <t>Text</t>
        </is>
      </c>
      <c r="F65" s="51" t="inlineStr">
        <is>
          <t>Multicast group capacity (AV multicast sizing)</t>
        </is>
      </c>
    </row>
    <row r="66" ht="15" customHeight="1" s="29">
      <c r="A66" s="43" t="inlineStr">
        <is>
          <t>Products</t>
        </is>
      </c>
      <c r="B66" s="43" t="inlineStr">
        <is>
          <t>Max_LAGs</t>
        </is>
      </c>
      <c r="C66" s="43" t="inlineStr">
        <is>
          <t>Performance</t>
        </is>
      </c>
      <c r="D66" s="43" t="n"/>
      <c r="E66" s="43" t="inlineStr">
        <is>
          <t>Text</t>
        </is>
      </c>
      <c r="F66" s="43" t="inlineStr">
        <is>
          <t>LAG groups x members</t>
        </is>
      </c>
    </row>
    <row r="67" ht="15" customHeight="1" s="29">
      <c r="A67" s="43" t="inlineStr">
        <is>
          <t>Products</t>
        </is>
      </c>
      <c r="B67" s="43" t="inlineStr">
        <is>
          <t>L3_Feature_Set</t>
        </is>
      </c>
      <c r="C67" s="43" t="inlineStr">
        <is>
          <t>Features</t>
        </is>
      </c>
      <c r="D67" s="43" t="n"/>
      <c r="E67" s="43" t="inlineStr">
        <is>
          <t>Text</t>
        </is>
      </c>
      <c r="F67" s="43" t="inlineStr">
        <is>
          <t>Routing capability</t>
        </is>
      </c>
    </row>
    <row r="68" ht="15" customHeight="1" s="29">
      <c r="A68" s="43" t="inlineStr">
        <is>
          <t>Products</t>
        </is>
      </c>
      <c r="B68" s="43" t="inlineStr">
        <is>
          <t>Stacking</t>
        </is>
      </c>
      <c r="C68" s="43" t="inlineStr">
        <is>
          <t>Features</t>
        </is>
      </c>
      <c r="D68" s="43" t="n"/>
      <c r="E68" s="43" t="inlineStr">
        <is>
          <t>List</t>
        </is>
      </c>
      <c r="F68" s="43" t="inlineStr">
        <is>
          <t>Yes/No</t>
        </is>
      </c>
    </row>
    <row r="69" ht="15" customHeight="1" s="29">
      <c r="A69" s="43" t="inlineStr">
        <is>
          <t>Products</t>
        </is>
      </c>
      <c r="B69" s="43" t="inlineStr">
        <is>
          <t>Stack_Max_Units</t>
        </is>
      </c>
      <c r="C69" s="43" t="inlineStr">
        <is>
          <t>Features</t>
        </is>
      </c>
      <c r="D69" s="43" t="inlineStr">
        <is>
          <t>count</t>
        </is>
      </c>
      <c r="E69" s="43" t="inlineStr">
        <is>
          <t>Number</t>
        </is>
      </c>
      <c r="F69" s="43" t="inlineStr">
        <is>
          <t>Max stack members</t>
        </is>
      </c>
    </row>
    <row r="70" ht="15" customHeight="1" s="29">
      <c r="A70" s="43" t="inlineStr">
        <is>
          <t>Products</t>
        </is>
      </c>
      <c r="B70" s="43" t="inlineStr">
        <is>
          <t>AVB</t>
        </is>
      </c>
      <c r="C70" s="43" t="inlineStr">
        <is>
          <t>Features</t>
        </is>
      </c>
      <c r="D70" s="43" t="n"/>
      <c r="E70" s="43" t="inlineStr">
        <is>
          <t>Text</t>
        </is>
      </c>
      <c r="F70" s="43" t="inlineStr">
        <is>
          <t>AVB/Milan support and limits</t>
        </is>
      </c>
    </row>
    <row r="71" ht="15" customHeight="1" s="29">
      <c r="A71" s="43" t="inlineStr">
        <is>
          <t>Products</t>
        </is>
      </c>
      <c r="B71" s="43" t="inlineStr">
        <is>
          <t>PTP</t>
        </is>
      </c>
      <c r="C71" s="43" t="inlineStr">
        <is>
          <t>Features</t>
        </is>
      </c>
      <c r="D71" s="43" t="n"/>
      <c r="E71" s="43" t="inlineStr">
        <is>
          <t>Text</t>
        </is>
      </c>
      <c r="F71" s="43" t="inlineStr">
        <is>
          <t>PTP role (TC/BC/GM) and profiles</t>
        </is>
      </c>
    </row>
    <row r="72" ht="15" customHeight="1" s="29">
      <c r="A72" s="43" t="inlineStr">
        <is>
          <t>Products</t>
        </is>
      </c>
      <c r="B72" s="43" t="inlineStr">
        <is>
          <t>SMPTE_ST2110</t>
        </is>
      </c>
      <c r="C72" s="43" t="inlineStr">
        <is>
          <t>Features</t>
        </is>
      </c>
      <c r="D72" s="43" t="n"/>
      <c r="E72" s="43" t="inlineStr">
        <is>
          <t>List</t>
        </is>
      </c>
      <c r="F72" s="43" t="inlineStr">
        <is>
          <t>Yes/No</t>
        </is>
      </c>
    </row>
    <row r="73" ht="15" customHeight="1" s="29">
      <c r="A73" s="43" t="inlineStr">
        <is>
          <t>Products</t>
        </is>
      </c>
      <c r="B73" s="43" t="inlineStr">
        <is>
          <t>IGMP_Plus</t>
        </is>
      </c>
      <c r="C73" s="43" t="inlineStr">
        <is>
          <t>Features</t>
        </is>
      </c>
      <c r="D73" s="43" t="n"/>
      <c r="E73" s="43" t="inlineStr">
        <is>
          <t>List</t>
        </is>
      </c>
      <c r="F73" s="43" t="inlineStr">
        <is>
          <t>Yes/No</t>
        </is>
      </c>
    </row>
    <row r="74" ht="15" customHeight="1" s="29">
      <c r="A74" s="43" t="inlineStr">
        <is>
          <t>Products</t>
        </is>
      </c>
      <c r="B74" s="43" t="inlineStr">
        <is>
          <t>Engage_Support</t>
        </is>
      </c>
      <c r="C74" s="43" t="inlineStr">
        <is>
          <t>Features</t>
        </is>
      </c>
      <c r="D74" s="43" t="n"/>
      <c r="E74" s="43" t="inlineStr">
        <is>
          <t>Text</t>
        </is>
      </c>
      <c r="F74" s="43" t="inlineStr">
        <is>
          <t>Managed by NETGEAR Engage</t>
        </is>
      </c>
    </row>
    <row r="75" ht="15" customHeight="1" s="29">
      <c r="A75" s="43" t="inlineStr">
        <is>
          <t>Products</t>
        </is>
      </c>
      <c r="B75" s="43" t="inlineStr">
        <is>
          <t>Insight_Support</t>
        </is>
      </c>
      <c r="C75" s="43" t="inlineStr">
        <is>
          <t>Features</t>
        </is>
      </c>
      <c r="D75" s="43" t="n"/>
      <c r="E75" s="43" t="inlineStr">
        <is>
          <t>Text</t>
        </is>
      </c>
      <c r="F75" s="43" t="inlineStr">
        <is>
          <t>Managed by NETGEAR Insight</t>
        </is>
      </c>
    </row>
    <row r="76" ht="15" customHeight="1" s="29">
      <c r="A76" s="43" t="inlineStr">
        <is>
          <t>Products</t>
        </is>
      </c>
      <c r="B76" s="43" t="inlineStr">
        <is>
          <t>OpTemp_Max_C</t>
        </is>
      </c>
      <c r="C76" s="43" t="inlineStr">
        <is>
          <t>Environment</t>
        </is>
      </c>
      <c r="D76" s="43" t="inlineStr">
        <is>
          <t>C</t>
        </is>
      </c>
      <c r="E76" s="43" t="inlineStr">
        <is>
          <t>Number</t>
        </is>
      </c>
      <c r="F76" s="43" t="inlineStr">
        <is>
          <t>Max operating ambient</t>
        </is>
      </c>
    </row>
    <row r="77" ht="15" customHeight="1" s="29">
      <c r="A77" s="43" t="inlineStr">
        <is>
          <t>Products</t>
        </is>
      </c>
      <c r="B77" s="43" t="inlineStr">
        <is>
          <t>Airflow</t>
        </is>
      </c>
      <c r="C77" s="43" t="inlineStr">
        <is>
          <t>Environment</t>
        </is>
      </c>
      <c r="D77" s="43" t="n"/>
      <c r="E77" s="43" t="inlineStr">
        <is>
          <t>Text</t>
        </is>
      </c>
      <c r="F77" s="43" t="inlineStr">
        <is>
          <t>Airflow direction / fanless</t>
        </is>
      </c>
    </row>
    <row r="78" ht="15" customHeight="1" s="29">
      <c r="A78" s="43" t="inlineStr">
        <is>
          <t>Products</t>
        </is>
      </c>
      <c r="B78" s="43" t="inlineStr">
        <is>
          <t>Fan_Off_Mode</t>
        </is>
      </c>
      <c r="C78" s="43" t="inlineStr">
        <is>
          <t>Environment</t>
        </is>
      </c>
      <c r="D78" s="43" t="n"/>
      <c r="E78" s="43" t="inlineStr">
        <is>
          <t>Text</t>
        </is>
      </c>
      <c r="F78" s="43" t="inlineStr">
        <is>
          <t>Fanless operation capability and limits</t>
        </is>
      </c>
    </row>
    <row r="79" ht="15" customHeight="1" s="29">
      <c r="A79" s="43" t="inlineStr">
        <is>
          <t>Products</t>
        </is>
      </c>
      <c r="B79" s="43" t="inlineStr">
        <is>
          <t>Acoustic_Quiet_25C_dBA</t>
        </is>
      </c>
      <c r="C79" s="43" t="inlineStr">
        <is>
          <t>Environment</t>
        </is>
      </c>
      <c r="D79" s="43" t="inlineStr">
        <is>
          <t>dBA</t>
        </is>
      </c>
      <c r="E79" s="43" t="inlineStr">
        <is>
          <t>Number</t>
        </is>
      </c>
      <c r="F79" s="51" t="inlineStr">
        <is>
          <t>Lowest Quiet-mode SPL at 25C (from acoustic table)</t>
        </is>
      </c>
    </row>
    <row r="80" ht="15" customHeight="1" s="29">
      <c r="A80" s="43" t="inlineStr">
        <is>
          <t>Products</t>
        </is>
      </c>
      <c r="B80" s="43" t="inlineStr">
        <is>
          <t>MTBF_25C_hours</t>
        </is>
      </c>
      <c r="C80" s="43" t="inlineStr">
        <is>
          <t>Environment</t>
        </is>
      </c>
      <c r="D80" s="43" t="inlineStr">
        <is>
          <t>hours</t>
        </is>
      </c>
      <c r="E80" s="43" t="inlineStr">
        <is>
          <t>Number</t>
        </is>
      </c>
      <c r="F80" s="43" t="inlineStr">
        <is>
          <t>MTBF at 25C</t>
        </is>
      </c>
    </row>
    <row r="81" ht="15" customHeight="1" s="29">
      <c r="A81" s="43" t="inlineStr">
        <is>
          <t>Products</t>
        </is>
      </c>
      <c r="B81" s="43" t="inlineStr">
        <is>
          <t>Warranty</t>
        </is>
      </c>
      <c r="C81" s="43" t="inlineStr">
        <is>
          <t>Commercial</t>
        </is>
      </c>
      <c r="D81" s="43" t="n"/>
      <c r="E81" s="43" t="inlineStr">
        <is>
          <t>Text</t>
        </is>
      </c>
      <c r="F81" s="43" t="inlineStr">
        <is>
          <t>Hardware warranty</t>
        </is>
      </c>
    </row>
    <row r="82" ht="15" customHeight="1" s="29">
      <c r="A82" s="43" t="inlineStr">
        <is>
          <t>Products</t>
        </is>
      </c>
      <c r="B82" s="43" t="inlineStr">
        <is>
          <t>Support_Category</t>
        </is>
      </c>
      <c r="C82" s="43" t="inlineStr">
        <is>
          <t>Commercial</t>
        </is>
      </c>
      <c r="D82" s="43" t="n"/>
      <c r="E82" s="43" t="inlineStr">
        <is>
          <t>Text</t>
        </is>
      </c>
      <c r="F82" s="43" t="inlineStr">
        <is>
          <t>OnCall category / support pack family</t>
        </is>
      </c>
    </row>
    <row r="83" ht="15" customHeight="1" s="29">
      <c r="A83" s="43" t="inlineStr">
        <is>
          <t>Products</t>
        </is>
      </c>
      <c r="B83" s="43" t="inlineStr">
        <is>
          <t>TAA_SKU</t>
        </is>
      </c>
      <c r="C83" s="43" t="inlineStr">
        <is>
          <t>Commercial</t>
        </is>
      </c>
      <c r="D83" s="43" t="n"/>
      <c r="E83" s="43" t="inlineStr">
        <is>
          <t>Text</t>
        </is>
      </c>
      <c r="F83" s="43" t="inlineStr">
        <is>
          <t>TAA-compliant orderable variant</t>
        </is>
      </c>
    </row>
    <row r="84" ht="15" customHeight="1" s="29">
      <c r="A84" s="43" t="inlineStr">
        <is>
          <t>Products</t>
        </is>
      </c>
      <c r="B84" s="43" t="inlineStr">
        <is>
          <t>Included_Subscription</t>
        </is>
      </c>
      <c r="C84" s="43" t="inlineStr">
        <is>
          <t>Commercial</t>
        </is>
      </c>
      <c r="D84" s="43" t="n"/>
      <c r="E84" s="43" t="inlineStr">
        <is>
          <t>Text</t>
        </is>
      </c>
      <c r="F84" s="43" t="inlineStr">
        <is>
          <t>Bundled cloud subscription</t>
        </is>
      </c>
    </row>
    <row r="85" ht="15" customHeight="1" s="29">
      <c r="A85" s="43" t="inlineStr">
        <is>
          <t>Products</t>
        </is>
      </c>
      <c r="B85" s="43" t="inlineStr">
        <is>
          <t>WAN_Ports</t>
        </is>
      </c>
      <c r="C85" s="43" t="inlineStr">
        <is>
          <t>Router</t>
        </is>
      </c>
      <c r="D85" s="43" t="n"/>
      <c r="E85" s="43" t="inlineStr">
        <is>
          <t>Text</t>
        </is>
      </c>
      <c r="F85" s="43" t="inlineStr">
        <is>
          <t>Router: WAN ports / modes</t>
        </is>
      </c>
    </row>
    <row r="86" ht="15" customHeight="1" s="29">
      <c r="A86" s="43" t="inlineStr">
        <is>
          <t>Products</t>
        </is>
      </c>
      <c r="B86" s="43" t="inlineStr">
        <is>
          <t>WAN_Throughput</t>
        </is>
      </c>
      <c r="C86" s="43" t="inlineStr">
        <is>
          <t>Router</t>
        </is>
      </c>
      <c r="D86" s="43" t="n"/>
      <c r="E86" s="43" t="inlineStr">
        <is>
          <t>Text</t>
        </is>
      </c>
      <c r="F86" s="43" t="inlineStr">
        <is>
          <t>Router: LAN-WAN throughput</t>
        </is>
      </c>
    </row>
    <row r="87" ht="15" customHeight="1" s="29">
      <c r="A87" s="43" t="inlineStr">
        <is>
          <t>Products</t>
        </is>
      </c>
      <c r="B87" s="43" t="inlineStr">
        <is>
          <t>VPN_Capacity</t>
        </is>
      </c>
      <c r="C87" s="43" t="inlineStr">
        <is>
          <t>Router</t>
        </is>
      </c>
      <c r="D87" s="43" t="n"/>
      <c r="E87" s="43" t="inlineStr">
        <is>
          <t>Text</t>
        </is>
      </c>
      <c r="F87" s="43" t="inlineStr">
        <is>
          <t>Router: VPN tunnels / throughput</t>
        </is>
      </c>
    </row>
    <row r="88" ht="15" customHeight="1" s="29">
      <c r="A88" s="43" t="inlineStr">
        <is>
          <t>Products</t>
        </is>
      </c>
      <c r="B88" s="43" t="inlineStr">
        <is>
          <t>Max_Clients</t>
        </is>
      </c>
      <c r="C88" s="43" t="inlineStr">
        <is>
          <t>Router</t>
        </is>
      </c>
      <c r="D88" s="43" t="inlineStr">
        <is>
          <t>count</t>
        </is>
      </c>
      <c r="E88" s="43" t="inlineStr">
        <is>
          <t>Number</t>
        </is>
      </c>
      <c r="F88" s="43" t="inlineStr">
        <is>
          <t>Router: concurrent clients</t>
        </is>
      </c>
    </row>
    <row r="89" ht="15" customHeight="1" s="29">
      <c r="A89" s="43" t="inlineStr">
        <is>
          <t>Products</t>
        </is>
      </c>
      <c r="B89" s="43" t="inlineStr">
        <is>
          <t>WiFi_Standard</t>
        </is>
      </c>
      <c r="C89" s="43" t="inlineStr">
        <is>
          <t>Wireless</t>
        </is>
      </c>
      <c r="D89" s="43" t="n"/>
      <c r="E89" s="43" t="inlineStr">
        <is>
          <t>Text</t>
        </is>
      </c>
      <c r="F89" s="43" t="inlineStr">
        <is>
          <t>AP: WiFi generation/bands</t>
        </is>
      </c>
    </row>
    <row r="90" ht="15" customHeight="1" s="29">
      <c r="A90" s="43" t="inlineStr">
        <is>
          <t>Products</t>
        </is>
      </c>
      <c r="B90" s="43" t="inlineStr">
        <is>
          <t>WiFi_Streams</t>
        </is>
      </c>
      <c r="C90" s="43" t="inlineStr">
        <is>
          <t>Wireless</t>
        </is>
      </c>
      <c r="D90" s="43" t="n"/>
      <c r="E90" s="43" t="inlineStr">
        <is>
          <t>Text</t>
        </is>
      </c>
      <c r="F90" s="43" t="inlineStr">
        <is>
          <t>AP: spatial streams</t>
        </is>
      </c>
    </row>
    <row r="91" ht="15" customHeight="1" s="29">
      <c r="A91" s="43" t="inlineStr">
        <is>
          <t>Products</t>
        </is>
      </c>
      <c r="B91" s="43" t="inlineStr">
        <is>
          <t>WiFi_Max_Gbps</t>
        </is>
      </c>
      <c r="C91" s="43" t="inlineStr">
        <is>
          <t>Wireless</t>
        </is>
      </c>
      <c r="D91" s="43" t="inlineStr">
        <is>
          <t>Gbps</t>
        </is>
      </c>
      <c r="E91" s="43" t="inlineStr">
        <is>
          <t>Number</t>
        </is>
      </c>
      <c r="F91" s="43" t="inlineStr">
        <is>
          <t>AP: aggregate theoretical PHY rate</t>
        </is>
      </c>
    </row>
    <row r="92" ht="15" customHeight="1" s="29">
      <c r="A92" s="43" t="inlineStr">
        <is>
          <t>Products</t>
        </is>
      </c>
      <c r="B92" s="43" t="inlineStr">
        <is>
          <t>SSIDs</t>
        </is>
      </c>
      <c r="C92" s="43" t="inlineStr">
        <is>
          <t>Wireless</t>
        </is>
      </c>
      <c r="D92" s="43" t="inlineStr">
        <is>
          <t>count</t>
        </is>
      </c>
      <c r="E92" s="43" t="inlineStr">
        <is>
          <t>Number</t>
        </is>
      </c>
      <c r="F92" s="43" t="inlineStr">
        <is>
          <t>AP: max SSIDs</t>
        </is>
      </c>
    </row>
    <row r="93" ht="15" customHeight="1" s="29">
      <c r="A93" s="43" t="inlineStr">
        <is>
          <t>Products</t>
        </is>
      </c>
      <c r="B93" s="43" t="inlineStr">
        <is>
          <t>Source_Datasheet</t>
        </is>
      </c>
      <c r="C93" s="43" t="inlineStr">
        <is>
          <t>Governance</t>
        </is>
      </c>
      <c r="D93" s="43" t="n"/>
      <c r="E93" s="43" t="inlineStr">
        <is>
          <t>Text</t>
        </is>
      </c>
      <c r="F93" s="51" t="inlineStr">
        <is>
          <t>Datasheet doc ID / version the row came from</t>
        </is>
      </c>
    </row>
    <row r="94" ht="15" customHeight="1" s="29">
      <c r="A94" s="43" t="inlineStr">
        <is>
          <t>Products</t>
        </is>
      </c>
      <c r="B94" s="43" t="inlineStr">
        <is>
          <t>Last_Verified</t>
        </is>
      </c>
      <c r="C94" s="43" t="inlineStr">
        <is>
          <t>Governance</t>
        </is>
      </c>
      <c r="D94" s="43" t="inlineStr">
        <is>
          <t>date</t>
        </is>
      </c>
      <c r="E94" s="43" t="inlineStr">
        <is>
          <t>Date</t>
        </is>
      </c>
      <c r="F94" s="51" t="inlineStr">
        <is>
          <t>Date row was last checked against a datasheet</t>
        </is>
      </c>
    </row>
    <row r="95" ht="15" customHeight="1" s="29">
      <c r="A95" s="43" t="inlineStr">
        <is>
          <t>Products</t>
        </is>
      </c>
      <c r="B95" s="43" t="inlineStr">
        <is>
          <t>Data_Notes</t>
        </is>
      </c>
      <c r="C95" s="43" t="inlineStr">
        <is>
          <t>Governance</t>
        </is>
      </c>
      <c r="D95" s="43" t="n"/>
      <c r="E95" s="43" t="inlineStr">
        <is>
          <t>Text</t>
        </is>
      </c>
      <c r="F95" s="43" t="inlineStr">
        <is>
          <t>Conflicts, assumptions, caveats</t>
        </is>
      </c>
    </row>
    <row r="96" ht="15" customHeight="1" s="29">
      <c r="A96" s="43" t="inlineStr">
        <is>
          <t>SKUs</t>
        </is>
      </c>
      <c r="B96" s="43" t="inlineStr">
        <is>
          <t>Orderable_SKU</t>
        </is>
      </c>
      <c r="C96" s="43" t="n"/>
      <c r="D96" s="43" t="n"/>
      <c r="E96" s="43" t="inlineStr">
        <is>
          <t>Text (key)</t>
        </is>
      </c>
      <c r="F96" s="51" t="inlineStr">
        <is>
          <t>Exact orderable part number incl. region suffix</t>
        </is>
      </c>
    </row>
    <row r="97" ht="15" customHeight="1" s="29">
      <c r="A97" s="43" t="inlineStr">
        <is>
          <t>Accessories</t>
        </is>
      </c>
      <c r="B97" s="43" t="inlineStr">
        <is>
          <t>Base_Model</t>
        </is>
      </c>
      <c r="C97" s="43" t="n"/>
      <c r="D97" s="43" t="n"/>
      <c r="E97" s="43" t="inlineStr">
        <is>
          <t>Text</t>
        </is>
      </c>
      <c r="F97" s="51" t="inlineStr">
        <is>
          <t>Groups SKU variants; referenced by Compatibility.Accessory_Base</t>
        </is>
      </c>
    </row>
    <row r="98" ht="15" customHeight="1" s="29">
      <c r="A98" s="43" t="inlineStr">
        <is>
          <t>Accessories</t>
        </is>
      </c>
      <c r="B98" s="43" t="inlineStr">
        <is>
          <t>Output_W_110VAC / 220VAC</t>
        </is>
      </c>
      <c r="C98" s="43" t="n"/>
      <c r="D98" s="43" t="inlineStr">
        <is>
          <t>W</t>
        </is>
      </c>
      <c r="E98" s="43" t="inlineStr">
        <is>
          <t>Number</t>
        </is>
      </c>
      <c r="F98" s="51" t="inlineStr">
        <is>
          <t>PSU output by input voltage (drives PoE sizing)</t>
        </is>
      </c>
    </row>
    <row r="99" ht="15" customHeight="1" s="29">
      <c r="A99" s="43" t="inlineStr">
        <is>
          <t>Compatibility</t>
        </is>
      </c>
      <c r="B99" s="43" t="inlineStr">
        <is>
          <t>Scope_Type / Scope_Value</t>
        </is>
      </c>
      <c r="C99" s="43" t="n"/>
      <c r="D99" s="43" t="n"/>
      <c r="E99" s="43" t="inlineStr">
        <is>
          <t>List / Text</t>
        </is>
      </c>
      <c r="F99" s="51" t="inlineStr">
        <is>
          <t>'Product' + Product_ID, or 'Family' + Family name</t>
        </is>
      </c>
    </row>
    <row r="100" ht="15" customHeight="1" s="29">
      <c r="A100" s="43" t="inlineStr">
        <is>
          <t>Compatibility</t>
        </is>
      </c>
      <c r="B100" s="43" t="inlineStr">
        <is>
          <t>Max_Qty</t>
        </is>
      </c>
      <c r="C100" s="43" t="n"/>
      <c r="D100" s="43" t="inlineStr">
        <is>
          <t>count</t>
        </is>
      </c>
      <c r="E100" s="43" t="inlineStr">
        <is>
          <t>Number</t>
        </is>
      </c>
      <c r="F100" s="43" t="inlineStr">
        <is>
          <t>Max units per product (PSU slots etc.)</t>
        </is>
      </c>
    </row>
    <row r="101" ht="15" customHeight="1" s="29">
      <c r="A101" s="43" t="inlineStr">
        <is>
          <t>PSU_PoE_Matrix</t>
        </is>
      </c>
      <c r="B101" s="43" t="inlineStr">
        <is>
          <t>PoE_Budget_EPS_W</t>
        </is>
      </c>
      <c r="C101" s="43" t="n"/>
      <c r="D101" s="43" t="inlineStr">
        <is>
          <t>W</t>
        </is>
      </c>
      <c r="E101" s="43" t="inlineStr">
        <is>
          <t>Number</t>
        </is>
      </c>
      <c r="F101" s="51" t="inlineStr">
        <is>
          <t>Total PoE budget with all PSUs in config powered</t>
        </is>
      </c>
    </row>
    <row r="102" ht="15" customHeight="1" s="29">
      <c r="A102" s="43" t="inlineStr">
        <is>
          <t>PSU_PoE_Matrix</t>
        </is>
      </c>
      <c r="B102" s="43" t="inlineStr">
        <is>
          <t>PoE_If_Internal_PSU_Fails_W</t>
        </is>
      </c>
      <c r="C102" s="43" t="n"/>
      <c r="D102" s="43" t="inlineStr">
        <is>
          <t>W</t>
        </is>
      </c>
      <c r="E102" s="43" t="inlineStr">
        <is>
          <t>Number</t>
        </is>
      </c>
      <c r="F102" s="51" t="inlineStr">
        <is>
          <t>Datasheet value with internal PSU disconnected</t>
        </is>
      </c>
    </row>
    <row r="103" ht="15" customHeight="1" s="29">
      <c r="A103" s="43" t="inlineStr">
        <is>
          <t>PSU_PoE_Matrix</t>
        </is>
      </c>
      <c r="B103" s="43" t="inlineStr">
        <is>
          <t>PoE_If_One_Module_Fails_W</t>
        </is>
      </c>
      <c r="C103" s="43" t="n"/>
      <c r="D103" s="43" t="inlineStr">
        <is>
          <t>W</t>
        </is>
      </c>
      <c r="E103" s="43" t="inlineStr">
        <is>
          <t>Number</t>
        </is>
      </c>
      <c r="F103" s="51" t="inlineStr">
        <is>
          <t>Budget of same config with one module fewer</t>
        </is>
      </c>
    </row>
    <row r="104" ht="15" customHeight="1" s="29">
      <c r="A104" s="43" t="inlineStr">
        <is>
          <t>PSU_PoE_Matrix</t>
        </is>
      </c>
      <c r="B104" s="43" t="inlineStr">
        <is>
          <t>PoE_Budget_Protected_W</t>
        </is>
      </c>
      <c r="C104" s="43" t="n"/>
      <c r="D104" s="43" t="inlineStr">
        <is>
          <t>W</t>
        </is>
      </c>
      <c r="E104" s="43" t="inlineStr">
        <is>
          <t>Formula</t>
        </is>
      </c>
      <c r="F104" s="51" t="inlineStr">
        <is>
          <t>MIN of the two failure cases = guaranteed budget with redundancy</t>
        </is>
      </c>
    </row>
    <row r="105" ht="15" customHeight="1" s="29">
      <c r="A105" s="43" t="inlineStr">
        <is>
          <t>Recommended addition</t>
        </is>
      </c>
      <c r="B105" s="43" t="inlineStr">
        <is>
          <t>Per-port PoE class map</t>
        </is>
      </c>
      <c r="C105" s="43" t="inlineStr">
        <is>
          <t>Ports</t>
        </is>
      </c>
      <c r="D105" s="43" t="n"/>
      <c r="E105" s="43" t="inlineStr">
        <is>
          <t>Table</t>
        </is>
      </c>
      <c r="F105" s="51" t="inlineStr">
        <is>
          <t>Which port ranges are PoE / Ultra90 when a model mixes types (e.g. M4350-44M4X4V)</t>
        </is>
      </c>
    </row>
    <row r="106" ht="15" customHeight="1" s="29">
      <c r="A106" s="43" t="inlineStr">
        <is>
          <t>Recommended addition</t>
        </is>
      </c>
      <c r="B106" s="43" t="inlineStr">
        <is>
          <t>Uplink vs access port designation</t>
        </is>
      </c>
      <c r="C106" s="43" t="inlineStr">
        <is>
          <t>Ports</t>
        </is>
      </c>
      <c r="D106" s="43" t="n"/>
      <c r="E106" s="43" t="inlineStr">
        <is>
          <t>Table</t>
        </is>
      </c>
      <c r="F106" s="51" t="inlineStr">
        <is>
          <t>Lets the engine auto-assign uplinks per IDF/MDF</t>
        </is>
      </c>
    </row>
    <row r="107" ht="15" customHeight="1" s="29">
      <c r="A107" s="43" t="inlineStr">
        <is>
          <t>Recommended addition</t>
        </is>
      </c>
      <c r="B107" s="43" t="inlineStr">
        <is>
          <t>Stacking cables / modules</t>
        </is>
      </c>
      <c r="C107" s="43" t="inlineStr">
        <is>
          <t>Accessories</t>
        </is>
      </c>
      <c r="D107" s="43" t="n"/>
      <c r="E107" s="43" t="inlineStr">
        <is>
          <t>Rows</t>
        </is>
      </c>
      <c r="F107" s="43" t="inlineStr">
        <is>
          <t>Needed to BOM M4350 stacks</t>
        </is>
      </c>
    </row>
    <row r="108" ht="15" customHeight="1" s="29">
      <c r="A108" s="43" t="inlineStr">
        <is>
          <t>Recommended addition</t>
        </is>
      </c>
      <c r="B108" s="43" t="inlineStr">
        <is>
          <t>25G / 100G optics &amp; DACs</t>
        </is>
      </c>
      <c r="C108" s="43" t="inlineStr">
        <is>
          <t>Accessories</t>
        </is>
      </c>
      <c r="D108" s="43" t="n"/>
      <c r="E108" s="43" t="inlineStr">
        <is>
          <t>Rows</t>
        </is>
      </c>
      <c r="F108" s="43" t="inlineStr">
        <is>
          <t>Missing from M4350 datasheet</t>
        </is>
      </c>
    </row>
    <row r="109" ht="15" customHeight="1" s="29">
      <c r="A109" s="43" t="inlineStr">
        <is>
          <t>Recommended addition</t>
        </is>
      </c>
      <c r="B109" s="43" t="inlineStr">
        <is>
          <t>Cost, discount band, currency</t>
        </is>
      </c>
      <c r="C109" s="43" t="inlineStr">
        <is>
          <t>Commercial</t>
        </is>
      </c>
      <c r="D109" s="43" t="n"/>
      <c r="E109" s="43" t="inlineStr">
        <is>
          <t>Number</t>
        </is>
      </c>
      <c r="F109" s="43" t="inlineStr">
        <is>
          <t>Quote generation</t>
        </is>
      </c>
    </row>
    <row r="110" ht="23.85" customHeight="1" s="29">
      <c r="A110" s="43" t="inlineStr">
        <is>
          <t>Recommended addition</t>
        </is>
      </c>
      <c r="B110" s="51" t="inlineStr">
        <is>
          <t>HS code, country of origin, NDAA/TAA status</t>
        </is>
      </c>
      <c r="C110" s="43" t="inlineStr">
        <is>
          <t>Commercial</t>
        </is>
      </c>
      <c r="D110" s="43" t="n"/>
      <c r="E110" s="43" t="inlineStr">
        <is>
          <t>Text</t>
        </is>
      </c>
      <c r="F110" s="43" t="inlineStr">
        <is>
          <t>Gov/enterprise procurement</t>
        </is>
      </c>
    </row>
    <row r="111" ht="15" customHeight="1" s="29">
      <c r="A111" s="43" t="inlineStr">
        <is>
          <t>Recommended addition</t>
        </is>
      </c>
      <c r="B111" s="43" t="inlineStr">
        <is>
          <t>Engage AV profile support per model</t>
        </is>
      </c>
      <c r="C111" s="43" t="inlineStr">
        <is>
          <t>Features</t>
        </is>
      </c>
      <c r="D111" s="43" t="n"/>
      <c r="E111" s="43" t="inlineStr">
        <is>
          <t>Text</t>
        </is>
      </c>
      <c r="F111" s="51" t="inlineStr">
        <is>
          <t>Dante/Q-SYS/NVX/NDI/IPMX profile availability</t>
        </is>
      </c>
    </row>
    <row r="112" ht="15" customHeight="1" s="29">
      <c r="A112" s="43" t="inlineStr">
        <is>
          <t>Recommended addition</t>
        </is>
      </c>
      <c r="B112" s="43" t="inlineStr">
        <is>
          <t>Min firmware for features</t>
        </is>
      </c>
      <c r="C112" s="43" t="inlineStr">
        <is>
          <t>Features</t>
        </is>
      </c>
      <c r="D112" s="43" t="n"/>
      <c r="E112" s="43" t="inlineStr">
        <is>
          <t>Text</t>
        </is>
      </c>
      <c r="F112" s="43" t="inlineStr">
        <is>
          <t>e.g. ST 2110 / Engage v2 support</t>
        </is>
      </c>
    </row>
    <row r="113" ht="35.05" customHeight="1" s="29">
      <c r="A113" s="43" t="inlineStr">
        <is>
          <t>Recommended addition</t>
        </is>
      </c>
      <c r="B113" s="51" t="inlineStr">
        <is>
          <t>Endpoint library (AV encoders/decoders, cameras, APs)</t>
        </is>
      </c>
      <c r="C113" s="43" t="inlineStr">
        <is>
          <t>New sheet</t>
        </is>
      </c>
      <c r="D113" s="43" t="n"/>
      <c r="E113" s="43" t="inlineStr">
        <is>
          <t>Table</t>
        </is>
      </c>
      <c r="F113" s="51" t="inlineStr">
        <is>
          <t>Power draw, link speed, multicast Mbps per stream - drives port/PoE/bandwidth math</t>
        </is>
      </c>
    </row>
    <row r="114">
      <c r="A114" s="43" t="inlineStr">
        <is>
          <t>Endpoints</t>
        </is>
      </c>
      <c r="B114" s="51" t="inlineStr">
        <is>
          <t>Timing</t>
        </is>
      </c>
      <c r="C114" s="43" t="n"/>
      <c r="D114" s="43" t="n"/>
      <c r="E114" s="43" t="inlineStr">
        <is>
          <t>List</t>
        </is>
      </c>
      <c r="F114" s="51" t="inlineStr">
        <is>
          <t>Blank = any switch. 'PTP-BC' = needs PTP boundary clock (room switch and core). 'AVB' = needs AVB; M4250 gets one uplink per core (no LAG)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80" customWidth="1" style="28" min="2" max="2"/>
    <col width="60" customWidth="1" style="28" min="3" max="3"/>
  </cols>
  <sheetData>
    <row r="1" ht="30" customHeight="1" s="29">
      <c r="A1" s="30" t="inlineStr">
        <is>
          <t>Open Data Gaps &amp; Datasheet Conflicts</t>
        </is>
      </c>
    </row>
    <row r="2" ht="15" customHeight="1" s="29">
      <c r="A2" s="31" t="inlineStr">
        <is>
          <t>Resolve these before trusting the affected rows in customer BoMs.</t>
        </is>
      </c>
    </row>
    <row r="4" ht="31.5" customHeight="1" s="29">
      <c r="A4" s="42" t="inlineStr">
        <is>
          <t>Area</t>
        </is>
      </c>
      <c r="B4" s="42" t="inlineStr">
        <is>
          <t>Issue</t>
        </is>
      </c>
      <c r="C4" s="42" t="inlineStr">
        <is>
          <t>Action / Assumption Used</t>
        </is>
      </c>
    </row>
    <row r="5" ht="15" customHeight="1" s="29">
      <c r="A5" s="43" t="inlineStr">
        <is>
          <t>M4350</t>
        </is>
      </c>
      <c r="B5" s="51" t="inlineStr">
        <is>
          <t>Filename says 'M3450' but content is the M4350 datasheet (DS-M4350-30May25).</t>
        </is>
      </c>
      <c r="C5" s="51" t="inlineStr">
        <is>
          <t>Rename file to avoid confusion in source tracking.</t>
        </is>
      </c>
    </row>
    <row r="6" ht="23.85" customHeight="1" s="29">
      <c r="A6" s="43" t="inlineStr">
        <is>
          <t>M4350</t>
        </is>
      </c>
      <c r="B6" s="51" t="inlineStr">
        <is>
          <t>No NETGEAR-branded 25G/100G optics; optic.ca modules from KB 000066694 loaded instead. 25G DAC 2/3/5m listed in KB but only 1m seen on optic.ca shop. Breakout cables loaded but not used by engine.</t>
        </is>
      </c>
      <c r="C6" s="51" t="inlineStr">
        <is>
          <t>Confirm 25G DAC lengths with optic.ca; add M4500 when it joins the catalog (KB also covers M4500).</t>
        </is>
      </c>
    </row>
    <row r="7" ht="15" customHeight="1" s="29">
      <c r="A7" s="43" t="inlineStr">
        <is>
          <t>M4350</t>
        </is>
      </c>
      <c r="B7" s="51" t="inlineStr">
        <is>
          <t>Stacking cables/modules and max LAG count not extracted.</t>
        </is>
      </c>
      <c r="C7" s="51" t="inlineStr">
        <is>
          <t>Confirm from full spec pages; add to Accessories/Products.</t>
        </is>
      </c>
    </row>
    <row r="8" ht="23.85" customHeight="1" s="29">
      <c r="A8" s="43" t="inlineStr">
        <is>
          <t>M4350</t>
        </is>
      </c>
      <c r="B8" s="51" t="inlineStr">
        <is>
          <t>APS1200Wv2 110VAC rating not stated (only 1,200W @110/220V), yet PoE matrix shows lower budgets at 110VAC.</t>
        </is>
      </c>
      <c r="C8" s="43" t="inlineStr">
        <is>
          <t>Confirm actual 110V output with PLM.</t>
        </is>
      </c>
    </row>
    <row r="9" ht="15" customHeight="1" s="29">
      <c r="A9" s="43" t="inlineStr">
        <is>
          <t>M4350</t>
        </is>
      </c>
      <c r="B9" s="51" t="inlineStr">
        <is>
          <t>Datasheet typo: 24M4X4V 2x APS1200Wv2 @220VAC shows '2.292W'.</t>
        </is>
      </c>
      <c r="C9" s="43" t="inlineStr">
        <is>
          <t>Loaded as 2,292W - confirm.</t>
        </is>
      </c>
    </row>
    <row r="10" ht="15" customHeight="1" s="29">
      <c r="A10" s="43" t="inlineStr">
        <is>
          <t>M4250</t>
        </is>
      </c>
      <c r="B10" s="51" t="inlineStr">
        <is>
          <t>M4250-16XF weight 1.74 kg (product page) vs 2.80 kg (spec table).</t>
        </is>
      </c>
      <c r="C10" s="43" t="inlineStr">
        <is>
          <t>Loaded 2.80 kg - confirm.</t>
        </is>
      </c>
    </row>
    <row r="11" ht="15" customHeight="1" s="29">
      <c r="A11" s="43" t="inlineStr">
        <is>
          <t>M4250</t>
        </is>
      </c>
      <c r="B11" s="51" t="inlineStr">
        <is>
          <t>M4250-9G1F-PoE+ throughput 14.88 vs 14.80 Mpps.</t>
        </is>
      </c>
      <c r="C11" s="43" t="inlineStr">
        <is>
          <t>Loaded 14.88 - minor.</t>
        </is>
      </c>
    </row>
    <row r="12" ht="23.85" customHeight="1" s="29">
      <c r="A12" s="43" t="inlineStr">
        <is>
          <t>M4350</t>
        </is>
      </c>
      <c r="B12" s="51" t="inlineStr">
        <is>
          <t>44M4X4V datasheet states max redundant budget 1,794W; matrix-derived N-1 (2x APS2000W @220V, one module failed) is 1,786W.</t>
        </is>
      </c>
      <c r="C12" s="51" t="inlineStr">
        <is>
          <t>Products keeps 1,794W (datasheet); matrix shows derived values - confirm with PLM.</t>
        </is>
      </c>
    </row>
    <row r="13" ht="15" customHeight="1" s="29">
      <c r="A13" s="43" t="inlineStr">
        <is>
          <t>PR460X</t>
        </is>
      </c>
      <c r="B13" s="51" t="inlineStr">
        <is>
          <t>Concurrent connections 60,000 (spec) vs 250,000 (features).</t>
        </is>
      </c>
      <c r="C13" s="51" t="inlineStr">
        <is>
          <t>Confirm; affects sizing only for large residential/commercial.</t>
        </is>
      </c>
    </row>
    <row r="14" ht="15" customHeight="1" s="29">
      <c r="A14" s="43" t="inlineStr">
        <is>
          <t>PR460X</t>
        </is>
      </c>
      <c r="B14" s="51" t="inlineStr">
        <is>
          <t>Security license SKUs marked WIP; Sprint/Overdrive support SKUs not listed.</t>
        </is>
      </c>
      <c r="C14" s="43" t="inlineStr">
        <is>
          <t>Get current SKUs from PLM.</t>
        </is>
      </c>
    </row>
    <row r="15" ht="15" customHeight="1" s="29">
      <c r="A15" s="43" t="inlineStr">
        <is>
          <t>WBE718</t>
        </is>
      </c>
      <c r="B15" s="51" t="inlineStr">
        <is>
          <t>Weight 0.69 kg labelled 2.09 lb (should be ~1.52 lb). Only NA/EU SKUs listed.</t>
        </is>
      </c>
      <c r="C15" s="43" t="inlineStr">
        <is>
          <t>Confirm weight and APAC SKU.</t>
        </is>
      </c>
    </row>
    <row r="16" ht="15" customHeight="1" s="29">
      <c r="A16" s="43" t="inlineStr">
        <is>
          <t>WBE758</t>
        </is>
      </c>
      <c r="B16" s="51" t="inlineStr">
        <is>
          <t>Aggregate throughput 7.8 Gbps (intro) vs 18.4 Gbps (spec).</t>
        </is>
      </c>
      <c r="C16" s="43" t="inlineStr">
        <is>
          <t>Loaded 18.4 Gbps (spec table).</t>
        </is>
      </c>
    </row>
    <row r="17" ht="23.85" customHeight="1" s="29">
      <c r="A17" s="43" t="inlineStr">
        <is>
          <t>All</t>
        </is>
      </c>
      <c r="B17" s="51" t="inlineStr">
        <is>
          <t>No list prices / costs, lead times, EOL/EOS dates, or HS/COO codes in datasheets.</t>
        </is>
      </c>
      <c r="C17" s="51" t="inlineStr">
        <is>
          <t>Add from price book / PLM (see Data_Dictionary 'recommended additions').</t>
        </is>
      </c>
    </row>
    <row r="18" ht="15" customHeight="1" s="29">
      <c r="A18" s="43" t="inlineStr">
        <is>
          <t>All</t>
        </is>
      </c>
      <c r="B18" s="51" t="inlineStr">
        <is>
          <t>Engage 'select access points' list not defined in datasheets.</t>
        </is>
      </c>
      <c r="C18" s="51" t="inlineStr">
        <is>
          <t>Confirm which WBE models Engage v2 supports.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1"/>
  </cols>
  <sheetData>
    <row r="1" ht="30" customHeight="1" s="29">
      <c r="A1" s="30" t="inlineStr">
        <is>
          <t>Validation Lists</t>
        </is>
      </c>
    </row>
    <row r="2" ht="15" customHeight="1" s="29">
      <c r="A2" s="31" t="inlineStr">
        <is>
          <t>Edit these lists to change dropdowns in Products / Accessories / Compatibility.</t>
        </is>
      </c>
    </row>
    <row r="4" ht="15" customHeight="1" s="29">
      <c r="A4" s="54" t="inlineStr">
        <is>
          <t>Category</t>
        </is>
      </c>
      <c r="B4" s="54" t="inlineStr">
        <is>
          <t>Role</t>
        </is>
      </c>
      <c r="C4" s="54" t="inlineStr">
        <is>
          <t>Status</t>
        </is>
      </c>
      <c r="D4" s="54" t="inlineStr">
        <is>
          <t>Form_Factor</t>
        </is>
      </c>
      <c r="E4" s="54" t="inlineStr">
        <is>
          <t>Width_Class</t>
        </is>
      </c>
      <c r="F4" s="54" t="inlineStr">
        <is>
          <t>PoE_Standard</t>
        </is>
      </c>
      <c r="G4" s="54" t="inlineStr">
        <is>
          <t>Yes_No</t>
        </is>
      </c>
      <c r="H4" s="54" t="inlineStr">
        <is>
          <t>Acc_Category</t>
        </is>
      </c>
      <c r="I4" s="54" t="inlineStr">
        <is>
          <t>Scope_Type</t>
        </is>
      </c>
      <c r="J4" s="54" t="inlineStr">
        <is>
          <t>Link_Speed_Gbps</t>
        </is>
      </c>
      <c r="K4" s="54" t="inlineStr">
        <is>
          <t>Media</t>
        </is>
      </c>
    </row>
    <row r="5" ht="15" customHeight="1" s="29">
      <c r="A5" s="39" t="inlineStr">
        <is>
          <t>Switch</t>
        </is>
      </c>
      <c r="B5" s="39" t="inlineStr">
        <is>
          <t>Access / Edge</t>
        </is>
      </c>
      <c r="C5" s="39" t="inlineStr">
        <is>
          <t>Active</t>
        </is>
      </c>
      <c r="D5" s="39" t="inlineStr">
        <is>
          <t>Desktop</t>
        </is>
      </c>
      <c r="E5" s="39" t="inlineStr">
        <is>
          <t>Full width</t>
        </is>
      </c>
      <c r="F5" s="39" t="inlineStr">
        <is>
          <t>None</t>
        </is>
      </c>
      <c r="G5" s="39" t="inlineStr">
        <is>
          <t>Yes</t>
        </is>
      </c>
      <c r="H5" s="39" t="inlineStr">
        <is>
          <t>Optic</t>
        </is>
      </c>
      <c r="I5" s="39" t="inlineStr">
        <is>
          <t>Product</t>
        </is>
      </c>
      <c r="J5" s="39" t="n">
        <v>1</v>
      </c>
      <c r="K5" s="39" t="inlineStr">
        <is>
          <t>Copper</t>
        </is>
      </c>
    </row>
    <row r="6" ht="15" customHeight="1" s="29">
      <c r="A6" s="39" t="inlineStr">
        <is>
          <t>Router</t>
        </is>
      </c>
      <c r="B6" s="39" t="inlineStr">
        <is>
          <t>Aggregation</t>
        </is>
      </c>
      <c r="C6" s="39" t="inlineStr">
        <is>
          <t>NPI</t>
        </is>
      </c>
      <c r="D6" s="39" t="inlineStr">
        <is>
          <t>1U rack</t>
        </is>
      </c>
      <c r="E6" s="39" t="inlineStr">
        <is>
          <t>Half width</t>
        </is>
      </c>
      <c r="F6" s="39" t="inlineStr">
        <is>
          <t>802.3af PoE</t>
        </is>
      </c>
      <c r="G6" s="39" t="inlineStr">
        <is>
          <t>No</t>
        </is>
      </c>
      <c r="H6" s="39" t="inlineStr">
        <is>
          <t>DAC</t>
        </is>
      </c>
      <c r="I6" s="39" t="inlineStr">
        <is>
          <t>Family</t>
        </is>
      </c>
      <c r="J6" s="39" t="n">
        <v>2.5</v>
      </c>
      <c r="K6" s="39" t="inlineStr">
        <is>
          <t>Fiber</t>
        </is>
      </c>
    </row>
    <row r="7" ht="15" customHeight="1" s="29">
      <c r="A7" s="39" t="inlineStr">
        <is>
          <t>Access Point</t>
        </is>
      </c>
      <c r="B7" s="39" t="inlineStr">
        <is>
          <t>Aggregation / Core</t>
        </is>
      </c>
      <c r="C7" s="39" t="inlineStr">
        <is>
          <t>EOS</t>
        </is>
      </c>
      <c r="D7" s="39" t="inlineStr">
        <is>
          <t>2U rack</t>
        </is>
      </c>
      <c r="E7" s="39" t="inlineStr">
        <is>
          <t>Desktop</t>
        </is>
      </c>
      <c r="F7" s="39" t="inlineStr">
        <is>
          <t>802.3at PoE+</t>
        </is>
      </c>
      <c r="H7" s="39" t="inlineStr">
        <is>
          <t>AOC</t>
        </is>
      </c>
      <c r="J7" s="39" t="n">
        <v>5</v>
      </c>
    </row>
    <row r="8" ht="15" customHeight="1" s="29">
      <c r="A8" s="39" t="inlineStr">
        <is>
          <t>Controller</t>
        </is>
      </c>
      <c r="B8" s="39" t="inlineStr">
        <is>
          <t>Gateway / Router</t>
        </is>
      </c>
      <c r="C8" s="39" t="inlineStr">
        <is>
          <t>EOL</t>
        </is>
      </c>
      <c r="D8" s="39" t="inlineStr">
        <is>
          <t>1U rack (reversible ears)</t>
        </is>
      </c>
      <c r="E8" s="39" t="inlineStr">
        <is>
          <t>Ceiling/Wall</t>
        </is>
      </c>
      <c r="F8" s="39" t="inlineStr">
        <is>
          <t>802.3bt Ultra90 PoE++</t>
        </is>
      </c>
      <c r="H8" s="39" t="inlineStr">
        <is>
          <t>PSU Module</t>
        </is>
      </c>
      <c r="J8" s="39" t="n">
        <v>10</v>
      </c>
    </row>
    <row r="9" ht="15" customHeight="1" s="29">
      <c r="A9" s="39" t="inlineStr">
        <is>
          <t>Other</t>
        </is>
      </c>
      <c r="B9" s="39" t="inlineStr">
        <is>
          <t>Wireless AP (indoor)</t>
        </is>
      </c>
      <c r="D9" s="39" t="inlineStr">
        <is>
          <t>Wall / ceiling</t>
        </is>
      </c>
      <c r="F9" s="39" t="inlineStr">
        <is>
          <t>PD</t>
        </is>
      </c>
      <c r="H9" s="39" t="inlineStr">
        <is>
          <t>Power Adapter</t>
        </is>
      </c>
      <c r="J9" s="39" t="n">
        <v>25</v>
      </c>
    </row>
    <row r="10" ht="15" customHeight="1" s="29">
      <c r="B10" s="39" t="inlineStr">
        <is>
          <t>Wireless AP (outdoor)</t>
        </is>
      </c>
      <c r="D10" s="39" t="inlineStr">
        <is>
          <t>Outdoor</t>
        </is>
      </c>
      <c r="H10" s="39" t="inlineStr">
        <is>
          <t>PSU Tray</t>
        </is>
      </c>
      <c r="J10" s="39" t="n">
        <v>50</v>
      </c>
    </row>
    <row r="11" ht="15" customHeight="1" s="29">
      <c r="H11" s="39" t="inlineStr">
        <is>
          <t>License</t>
        </is>
      </c>
      <c r="J11" s="39" t="n">
        <v>100</v>
      </c>
    </row>
    <row r="12" ht="15" customHeight="1" s="29">
      <c r="H12" s="39" t="inlineStr">
        <is>
          <t>Support</t>
        </is>
      </c>
      <c r="J12" s="39" t="n">
        <v>200</v>
      </c>
    </row>
    <row r="13" ht="15" customHeight="1" s="29">
      <c r="H13" s="39" t="inlineStr">
        <is>
          <t>Service</t>
        </is>
      </c>
      <c r="J13" s="39" t="n">
        <v>400</v>
      </c>
    </row>
    <row r="14" ht="15" customHeight="1" s="29">
      <c r="H14" s="39" t="inlineStr">
        <is>
          <t>Stacking</t>
        </is>
      </c>
    </row>
    <row r="15" ht="15" customHeight="1" s="29">
      <c r="H15" s="39" t="inlineStr">
        <is>
          <t>Mounting</t>
        </is>
      </c>
    </row>
    <row r="16">
      <c r="H16" s="39" t="inlineStr">
        <is>
          <t>Breakout Cable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2026-09-27T23:48:43Z</dcterms:created>
  <dcterms:modified xsi:type="dcterms:W3CDTF">2026-10-01T20:42:26Z</dcterms:modified>
  <cp:revision>0</cp:revision>
</cp:coreProperties>
</file>