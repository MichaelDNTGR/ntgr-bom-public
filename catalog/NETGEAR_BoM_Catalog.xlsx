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P40" headerRowCount="1" totalsRowCount="0" totalsRowShown="0">
  <autoFilter ref="A4:CM38"/>
  <tableColumns count="94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List_Price_USD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  <tableColumn id="92" name="Support_Tiers"/>
    <tableColumn id="93" name="Included_Support"/>
    <tableColumn id="94" name="Neutrik_etherCON_Ports"/>
  </tableColumns>
</table>
</file>

<file path=xl/tables/table2.xml><?xml version="1.0" encoding="utf-8"?>
<table xmlns="http://schemas.openxmlformats.org/spreadsheetml/2006/main" id="2" name="tblSKUs" displayName="tblSKUs" ref="A4:G157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Q131" headerRowCount="1" totalsRowCount="0" totalsRowShown="0">
  <autoFilter ref="A4:Q127"/>
  <tableColumns count="17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</tableColumns>
</table>
</file>

<file path=xl/tables/table4.xml><?xml version="1.0" encoding="utf-8"?>
<table xmlns="http://schemas.openxmlformats.org/spreadsheetml/2006/main" id="4" name="tblCompat" displayName="tblCompat" ref="A4:G176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15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5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9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0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17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7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 · M4350-16C/16M4V: DS-M4350-03Jul26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P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  <col width="26" customWidth="1" style="29" min="92" max="92"/>
    <col width="26" customWidth="1" style="29" min="93" max="93"/>
    <col width="14" customWidth="1" style="29" min="94" max="94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List_Price_USD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  <c r="CN4" s="42" t="inlineStr">
        <is>
          <t>Support_Tiers</t>
        </is>
      </c>
      <c r="CO4" s="42" t="inlineStr">
        <is>
          <t>Included_Support</t>
        </is>
      </c>
      <c r="CP4" s="42" t="inlineStr">
        <is>
          <t>Neutrik_etherCON_Ports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/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  <c r="CN5" s="51" t="inlineStr">
        <is>
          <t>Sprint, Overdrive, Fastlane</t>
        </is>
      </c>
      <c r="CO5" s="51" t="inlineStr">
        <is>
          <t>Sprint 3 yr</t>
        </is>
      </c>
      <c r="CP5" s="51" t="n">
        <v>0</v>
      </c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/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  <c r="CN6" s="43" t="inlineStr">
        <is>
          <t>Sprint, Overdrive, Fastlane</t>
        </is>
      </c>
      <c r="CO6" s="43" t="inlineStr">
        <is>
          <t>Sprint 3 yr</t>
        </is>
      </c>
      <c r="CP6" s="43" t="n">
        <v>0</v>
      </c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/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  <c r="CN7" s="43" t="inlineStr">
        <is>
          <t>Sprint, Overdrive, Fastlane</t>
        </is>
      </c>
      <c r="CO7" s="43" t="inlineStr">
        <is>
          <t>Sprint 3 yr</t>
        </is>
      </c>
      <c r="CP7" s="43" t="n">
        <v>0</v>
      </c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/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  <c r="CN8" s="43" t="inlineStr">
        <is>
          <t>Sprint, Overdrive, Fastlane</t>
        </is>
      </c>
      <c r="CO8" s="43" t="inlineStr">
        <is>
          <t>Sprint 3 yr</t>
        </is>
      </c>
      <c r="CP8" s="43" t="n">
        <v>0</v>
      </c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/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  <c r="CN9" s="43" t="inlineStr">
        <is>
          <t>Sprint, Overdrive, Fastlane</t>
        </is>
      </c>
      <c r="CO9" s="43" t="inlineStr">
        <is>
          <t>Sprint 3 yr</t>
        </is>
      </c>
      <c r="CP9" s="43" t="n">
        <v>0</v>
      </c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/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  <c r="CN10" s="43" t="inlineStr">
        <is>
          <t>Sprint, Overdrive, Fastlane</t>
        </is>
      </c>
      <c r="CO10" s="43" t="inlineStr">
        <is>
          <t>Sprint 3 yr</t>
        </is>
      </c>
      <c r="CP10" s="43" t="n">
        <v>0</v>
      </c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/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  <c r="CN11" s="51" t="inlineStr">
        <is>
          <t>Sprint, Overdrive, Fastlane</t>
        </is>
      </c>
      <c r="CO11" s="51" t="inlineStr">
        <is>
          <t>Sprint 3 yr</t>
        </is>
      </c>
      <c r="CP11" s="51" t="n">
        <v>0</v>
      </c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/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  <c r="CN12" s="43" t="inlineStr">
        <is>
          <t>Sprint, Overdrive, Fastlane</t>
        </is>
      </c>
      <c r="CO12" s="43" t="inlineStr">
        <is>
          <t>Sprint 3 yr</t>
        </is>
      </c>
      <c r="CP12" s="43" t="n">
        <v>0</v>
      </c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/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  <c r="CN13" s="43" t="inlineStr">
        <is>
          <t>Sprint, Overdrive, Fastlane</t>
        </is>
      </c>
      <c r="CO13" s="43" t="inlineStr">
        <is>
          <t>Sprint 3 yr</t>
        </is>
      </c>
      <c r="CP13" s="43" t="n">
        <v>0</v>
      </c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/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  <c r="CN14" s="43" t="inlineStr">
        <is>
          <t>Sprint, Overdrive, Fastlane</t>
        </is>
      </c>
      <c r="CO14" s="43" t="inlineStr">
        <is>
          <t>Sprint 3 yr</t>
        </is>
      </c>
      <c r="CP14" s="43" t="n">
        <v>0</v>
      </c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/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  <c r="CN15" s="51" t="inlineStr">
        <is>
          <t>Sprint, Overdrive, Fastlane</t>
        </is>
      </c>
      <c r="CO15" s="51" t="inlineStr">
        <is>
          <t>Sprint 3 yr</t>
        </is>
      </c>
      <c r="CP15" s="51" t="n">
        <v>0</v>
      </c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/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  <c r="CN16" s="43" t="inlineStr">
        <is>
          <t>Sprint, Overdrive, Fastlane</t>
        </is>
      </c>
      <c r="CO16" s="43" t="inlineStr">
        <is>
          <t>Sprint 3 yr</t>
        </is>
      </c>
      <c r="CP16" s="43" t="n">
        <v>0</v>
      </c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/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  <c r="CN17" s="51" t="inlineStr">
        <is>
          <t>Sprint, Overdrive, Fastlane</t>
        </is>
      </c>
      <c r="CO17" s="51" t="inlineStr">
        <is>
          <t>Sprint 3 yr</t>
        </is>
      </c>
      <c r="CP17" s="51" t="n">
        <v>0</v>
      </c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/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  <c r="CN18" s="43" t="inlineStr">
        <is>
          <t>Sprint, Overdrive, Fastlane</t>
        </is>
      </c>
      <c r="CO18" s="43" t="inlineStr">
        <is>
          <t>Sprint 3 yr</t>
        </is>
      </c>
      <c r="CP18" s="43" t="n">
        <v>0</v>
      </c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/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  <c r="CN19" s="43" t="inlineStr">
        <is>
          <t>Sprint, Overdrive, Fastlane</t>
        </is>
      </c>
      <c r="CO19" s="43" t="inlineStr">
        <is>
          <t>Sprint 3 yr</t>
        </is>
      </c>
      <c r="CP19" s="43" t="n">
        <v>0</v>
      </c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/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  <c r="CN20" s="51" t="inlineStr">
        <is>
          <t>Sprint, Overdrive, Fastlane</t>
        </is>
      </c>
      <c r="CO20" s="51" t="inlineStr">
        <is>
          <t>Sprint 3 yr</t>
        </is>
      </c>
      <c r="CP20" s="51" t="n">
        <v>0</v>
      </c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/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  <c r="CN21" s="43" t="inlineStr">
        <is>
          <t>Sprint, Overdrive, Fastlane</t>
        </is>
      </c>
      <c r="CO21" s="43" t="inlineStr">
        <is>
          <t>Sprint 3 yr</t>
        </is>
      </c>
      <c r="CP21" s="43" t="n">
        <v>0</v>
      </c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/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  <c r="CN22" s="51" t="inlineStr">
        <is>
          <t>Sprint, Overdrive, Fastlane</t>
        </is>
      </c>
      <c r="CO22" s="51" t="inlineStr">
        <is>
          <t>Sprint 3 yr</t>
        </is>
      </c>
      <c r="CP22" s="51" t="n">
        <v>0</v>
      </c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/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  <c r="CN23" s="43" t="inlineStr">
        <is>
          <t>Sprint, Overdrive, Fastlane</t>
        </is>
      </c>
      <c r="CO23" s="43" t="inlineStr">
        <is>
          <t>Sprint 3 yr</t>
        </is>
      </c>
      <c r="CP23" s="43" t="n">
        <v>0</v>
      </c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/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  <c r="CN24" s="43" t="inlineStr">
        <is>
          <t>Sprint, Overdrive, Fastlane</t>
        </is>
      </c>
      <c r="CO24" s="43" t="inlineStr">
        <is>
          <t>Sprint 3 yr</t>
        </is>
      </c>
      <c r="CP24" s="43" t="n">
        <v>0</v>
      </c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/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  <c r="CN25" s="43" t="inlineStr">
        <is>
          <t>Sprint, Overdrive, Fastlane</t>
        </is>
      </c>
      <c r="CO25" s="43" t="inlineStr">
        <is>
          <t>Sprint 3 yr</t>
        </is>
      </c>
      <c r="CP25" s="43" t="n">
        <v>0</v>
      </c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/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  <c r="CN26" s="43" t="inlineStr">
        <is>
          <t>Sprint, Overdrive, Fastlane</t>
        </is>
      </c>
      <c r="CO26" s="43" t="inlineStr">
        <is>
          <t>Sprint 3 yr</t>
        </is>
      </c>
      <c r="CP26" s="43" t="n">
        <v>0</v>
      </c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/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  <c r="CN27" s="43" t="inlineStr">
        <is>
          <t>Sprint, Overdrive, Fastlane</t>
        </is>
      </c>
      <c r="CO27" s="43" t="inlineStr">
        <is>
          <t>Sprint 3 yr</t>
        </is>
      </c>
      <c r="CP27" s="43" t="n">
        <v>0</v>
      </c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/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  <c r="CN28" s="43" t="inlineStr">
        <is>
          <t>Sprint, Overdrive, Fastlane</t>
        </is>
      </c>
      <c r="CO28" s="43" t="inlineStr">
        <is>
          <t>Sprint 3 yr</t>
        </is>
      </c>
      <c r="CP28" s="43" t="n">
        <v>0</v>
      </c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/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  <c r="CN29" s="43" t="inlineStr">
        <is>
          <t>Sprint, Overdrive, Fastlane</t>
        </is>
      </c>
      <c r="CO29" s="43" t="inlineStr">
        <is>
          <t>Sprint 3 yr</t>
        </is>
      </c>
      <c r="CP29" s="43" t="n">
        <v>0</v>
      </c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/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  <c r="CN30" s="43" t="inlineStr">
        <is>
          <t>Sprint, Overdrive, Fastlane</t>
        </is>
      </c>
      <c r="CO30" s="43" t="inlineStr">
        <is>
          <t>Sprint 3 yr</t>
        </is>
      </c>
      <c r="CP30" s="43" t="n">
        <v>0</v>
      </c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/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  <c r="CN31" s="43" t="inlineStr">
        <is>
          <t>Sprint, Overdrive, Fastlane</t>
        </is>
      </c>
      <c r="CO31" s="43" t="inlineStr">
        <is>
          <t>Sprint 3 yr</t>
        </is>
      </c>
      <c r="CP31" s="43" t="n">
        <v>0</v>
      </c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/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  <c r="CN32" s="43" t="inlineStr">
        <is>
          <t>Sprint, Overdrive, Fastlane</t>
        </is>
      </c>
      <c r="CO32" s="43" t="inlineStr">
        <is>
          <t>Sprint 3 yr</t>
        </is>
      </c>
      <c r="CP32" s="43" t="n">
        <v>0</v>
      </c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/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  <c r="CN33" s="43" t="inlineStr">
        <is>
          <t>Sprint, Overdrive, Fastlane</t>
        </is>
      </c>
      <c r="CO33" s="43" t="inlineStr">
        <is>
          <t>Sprint 3 yr</t>
        </is>
      </c>
      <c r="CP33" s="43" t="n">
        <v>0</v>
      </c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/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  <c r="CN34" s="51" t="inlineStr">
        <is>
          <t>Sprint, Overdrive</t>
        </is>
      </c>
      <c r="CO34" s="51" t="n"/>
      <c r="CP34" s="51" t="n">
        <v>0</v>
      </c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/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  <c r="CN35" s="51" t="inlineStr">
        <is>
          <t>Sprint, Overdrive</t>
        </is>
      </c>
      <c r="CO35" s="51" t="n"/>
      <c r="CP35" s="51" t="n">
        <v>0</v>
      </c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/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  <c r="CN36" s="51" t="inlineStr">
        <is>
          <t>Sprint, Overdrive</t>
        </is>
      </c>
      <c r="CO36" s="51" t="n"/>
      <c r="CP36" s="51" t="n">
        <v>0</v>
      </c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/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  <c r="CN37" s="51" t="inlineStr">
        <is>
          <t>Sprint, Overdrive</t>
        </is>
      </c>
      <c r="CO37" s="51" t="inlineStr">
        <is>
          <t>Sprint 3 yr</t>
        </is>
      </c>
      <c r="CP37" s="51" t="n">
        <v>0</v>
      </c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/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  <c r="CN38" s="51" t="inlineStr">
        <is>
          <t>Sprint, Overdrive</t>
        </is>
      </c>
      <c r="CO38" s="51" t="inlineStr">
        <is>
          <t>Sprint 3 yr</t>
        </is>
      </c>
      <c r="CP38" s="51" t="n">
        <v>0</v>
      </c>
    </row>
    <row r="39" ht="46.25" customHeight="1" s="29">
      <c r="A39" s="43" t="inlineStr">
        <is>
          <t>CSM4316</t>
        </is>
      </c>
      <c r="B39" s="43" t="inlineStr">
        <is>
          <t>M4350-16C</t>
        </is>
      </c>
      <c r="C39" s="43" t="inlineStr">
        <is>
          <t>M4350</t>
        </is>
      </c>
      <c r="D39" s="43" t="inlineStr">
        <is>
          <t>NETGEAR AV and IT</t>
        </is>
      </c>
      <c r="E39" s="43" t="inlineStr">
        <is>
          <t>Switch</t>
        </is>
      </c>
      <c r="F39" s="43" t="inlineStr">
        <is>
          <t>Aggregation / Core</t>
        </is>
      </c>
      <c r="G39" s="43" t="inlineStr">
        <is>
          <t>AV UI; Engage; IT Web GUI; CLI; SNMP</t>
        </is>
      </c>
      <c r="H39" s="43" t="inlineStr">
        <is>
          <t>Active</t>
        </is>
      </c>
      <c r="I39" s="44" t="n"/>
      <c r="J39" s="45" t="n"/>
      <c r="K39" s="45" t="n"/>
      <c r="L39" s="43" t="inlineStr">
        <is>
          <t>1U rack</t>
        </is>
      </c>
      <c r="M39" s="43" t="n">
        <v>1</v>
      </c>
      <c r="N39" s="43" t="inlineStr">
        <is>
          <t>Full width</t>
        </is>
      </c>
      <c r="O39" s="43" t="n">
        <v>440</v>
      </c>
      <c r="P39" s="43" t="n">
        <v>400</v>
      </c>
      <c r="Q39" s="43" t="n">
        <v>43.2</v>
      </c>
      <c r="R39" s="46" t="n">
        <v>8.029999999999999</v>
      </c>
      <c r="S39" s="43" t="n">
        <v>0</v>
      </c>
      <c r="T39" s="43" t="n">
        <v>0</v>
      </c>
      <c r="U39" s="43" t="n">
        <v>0</v>
      </c>
      <c r="V39" s="43" t="n">
        <v>0</v>
      </c>
      <c r="W39" s="43" t="n">
        <v>0</v>
      </c>
      <c r="X39" s="43" t="n">
        <v>0</v>
      </c>
      <c r="Y39" s="43" t="n">
        <v>0</v>
      </c>
      <c r="Z39" s="43" t="n">
        <v>16</v>
      </c>
      <c r="AA39" s="43" t="n">
        <v>0</v>
      </c>
      <c r="AB39" s="43" t="n">
        <v>0</v>
      </c>
      <c r="AC39" s="43" t="n">
        <v>0</v>
      </c>
      <c r="AD39" s="43" t="n">
        <v>0</v>
      </c>
      <c r="AE39" s="43" t="n">
        <v>0</v>
      </c>
      <c r="AF39" s="47">
        <f>SUM(S39:AE39)</f>
        <v>16</v>
      </c>
      <c r="AG39" s="43" t="n"/>
      <c r="AH39" s="43" t="inlineStr">
        <is>
          <t>QSFP28: 40G or 100G (stacking 100G only). No 10G/25G without breakout</t>
        </is>
      </c>
      <c r="AI39" s="43" t="n">
        <v>0</v>
      </c>
      <c r="AJ39" s="43" t="inlineStr">
        <is>
          <t>None</t>
        </is>
      </c>
      <c r="AK39" s="43" t="n"/>
      <c r="AL39" s="48" t="n"/>
      <c r="AM39" s="48" t="n"/>
      <c r="AN39" s="43" t="n"/>
      <c r="AO39" s="49">
        <f>IFERROR(AM39/AI39,"")</f>
      </c>
      <c r="AP39" s="43" t="n"/>
      <c r="AQ39" s="51" t="n"/>
      <c r="AR39" s="43" t="n"/>
      <c r="AS39" s="43" t="inlineStr">
        <is>
          <t>Internal fixed + modular slots</t>
        </is>
      </c>
      <c r="AT39" s="43" t="n">
        <v>420</v>
      </c>
      <c r="AU39" s="43" t="n">
        <v>1</v>
      </c>
      <c r="AV39" s="43" t="n">
        <v>1</v>
      </c>
      <c r="AW39" s="43" t="inlineStr">
        <is>
          <t>B: APS600Wv3 / APS1200Wv2 / APS2000Wv2</t>
        </is>
      </c>
      <c r="AX39" s="43" t="n">
        <v>69.09999999999999</v>
      </c>
      <c r="AY39" s="43" t="n">
        <v>161.9</v>
      </c>
      <c r="AZ39" s="43" t="n"/>
      <c r="BA39" s="50">
        <f>IF(MAX(AY39,AZ39)=0,"",ROUND(MAX(AY39,AZ39)*3.412,0))</f>
        <v>552</v>
      </c>
      <c r="BB39" s="48" t="n">
        <v>3200</v>
      </c>
      <c r="BC39" s="46" t="n">
        <v>2380.8</v>
      </c>
      <c r="BD39" s="43" t="n">
        <v>256</v>
      </c>
      <c r="BE39" s="43" t="n">
        <v>4</v>
      </c>
      <c r="BF39" s="43" t="inlineStr">
        <is>
          <t>Quad-core Cortex-A57 1.8GHz</t>
        </is>
      </c>
      <c r="BG39" s="48" t="n">
        <v>16384</v>
      </c>
      <c r="BH39" s="43" t="n">
        <v>4093</v>
      </c>
      <c r="BI39" s="43" t="inlineStr">
        <is>
          <t>2K IPv4 / 2K IPv6</t>
        </is>
      </c>
      <c r="BJ39" s="43" t="n"/>
      <c r="BK39" s="43" t="inlineStr">
        <is>
          <t>Full L3 (static, RIP, OSPF, VRRP, PIM-SM/DM, PBR)</t>
        </is>
      </c>
      <c r="BL39" s="43" t="inlineStr">
        <is>
          <t>Yes (NSF)</t>
        </is>
      </c>
      <c r="BM39" s="43" t="n">
        <v>8</v>
      </c>
      <c r="BN39" s="43" t="inlineStr">
        <is>
          <t>Yes (exclusive with stacking)</t>
        </is>
      </c>
      <c r="BO39" s="43" t="inlineStr">
        <is>
          <t>PTPv2 TC + Boundary/Grandmaster (SMPTE 2059-2, AES67, AES-R16)</t>
        </is>
      </c>
      <c r="BP39" s="43" t="inlineStr">
        <is>
          <t>Yes</t>
        </is>
      </c>
      <c r="BQ39" s="43" t="inlineStr">
        <is>
          <t>Yes</t>
        </is>
      </c>
      <c r="BR39" s="43" t="inlineStr">
        <is>
          <t>Yes</t>
        </is>
      </c>
      <c r="BS39" s="43" t="inlineStr">
        <is>
          <t>No</t>
        </is>
      </c>
      <c r="BT39" s="43" t="n">
        <v>50</v>
      </c>
      <c r="BU39" s="43" t="inlineStr">
        <is>
          <t>Front-to-back</t>
        </is>
      </c>
      <c r="BV39" s="43" t="inlineStr">
        <is>
          <t>No (Quiet / Cool modes)</t>
        </is>
      </c>
      <c r="BW39" s="43" t="n">
        <v>30.4</v>
      </c>
      <c r="BX39" s="48" t="n">
        <v>390797</v>
      </c>
      <c r="BY39" s="43" t="inlineStr">
        <is>
          <t>ProSAFE Limited Lifetime HW; Lifetime NBD replacement</t>
        </is>
      </c>
      <c r="BZ39" s="43" t="inlineStr">
        <is>
          <t>Sprint / Overdrive</t>
        </is>
      </c>
      <c r="CA39" s="43" t="inlineStr">
        <is>
          <t>Yes (-TAANES)</t>
        </is>
      </c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inlineStr">
        <is>
          <t>M4350 datasheet DS-M4350-03Jul26 (M4350_Datasheet.pdf)</t>
        </is>
      </c>
      <c r="CL39" s="43" t="inlineStr">
        <is>
          <t>2026-10-01</t>
        </is>
      </c>
      <c r="CM39" s="51" t="inlineStr">
        <is>
          <t>Packet buffer assumed 256 Mb (same as 16V4C/40X4C; datasheet table columns unclear). Modular slot = RPS only (no PoE)</t>
        </is>
      </c>
      <c r="CN39" s="51" t="inlineStr">
        <is>
          <t>Sprint, Overdrive, Fastlane</t>
        </is>
      </c>
      <c r="CO39" s="51" t="inlineStr">
        <is>
          <t>Sprint 3 yr</t>
        </is>
      </c>
      <c r="CP39" s="51" t="n">
        <v>0</v>
      </c>
    </row>
    <row r="40" ht="46.25" customHeight="1" s="29">
      <c r="A40" s="43" t="inlineStr">
        <is>
          <t>MSM4320</t>
        </is>
      </c>
      <c r="B40" s="43" t="inlineStr">
        <is>
          <t>M4350-16M4V</t>
        </is>
      </c>
      <c r="C40" s="43" t="inlineStr">
        <is>
          <t>M4350</t>
        </is>
      </c>
      <c r="D40" s="43" t="inlineStr">
        <is>
          <t>NETGEAR AV and IT</t>
        </is>
      </c>
      <c r="E40" s="43" t="inlineStr">
        <is>
          <t>Switch</t>
        </is>
      </c>
      <c r="F40" s="43" t="inlineStr">
        <is>
          <t>Access / Edge</t>
        </is>
      </c>
      <c r="G40" s="43" t="inlineStr">
        <is>
          <t>AV UI; Engage; IT Web GUI; CLI; SNMP</t>
        </is>
      </c>
      <c r="H40" s="43" t="inlineStr">
        <is>
          <t>Active</t>
        </is>
      </c>
      <c r="I40" s="44" t="n"/>
      <c r="J40" s="45" t="n"/>
      <c r="K40" s="45" t="n"/>
      <c r="L40" s="43" t="inlineStr">
        <is>
          <t>1U rack</t>
        </is>
      </c>
      <c r="M40" s="43" t="n">
        <v>1</v>
      </c>
      <c r="N40" s="43" t="inlineStr">
        <is>
          <t>Full width</t>
        </is>
      </c>
      <c r="O40" s="43" t="n">
        <v>440</v>
      </c>
      <c r="P40" s="43" t="n">
        <v>432</v>
      </c>
      <c r="Q40" s="43" t="n">
        <v>43.2</v>
      </c>
      <c r="R40" s="46" t="n">
        <v>7.85</v>
      </c>
      <c r="S40" s="43" t="n">
        <v>0</v>
      </c>
      <c r="T40" s="43" t="n">
        <v>16</v>
      </c>
      <c r="U40" s="43" t="n">
        <v>0</v>
      </c>
      <c r="V40" s="43" t="n">
        <v>0</v>
      </c>
      <c r="W40" s="43" t="n">
        <v>0</v>
      </c>
      <c r="X40" s="43" t="n">
        <v>0</v>
      </c>
      <c r="Y40" s="43" t="n">
        <v>4</v>
      </c>
      <c r="Z40" s="43" t="n">
        <v>0</v>
      </c>
      <c r="AA40" s="43" t="n">
        <v>0</v>
      </c>
      <c r="AB40" s="43" t="n">
        <v>0</v>
      </c>
      <c r="AC40" s="43" t="n">
        <v>0</v>
      </c>
      <c r="AD40" s="43" t="n">
        <v>0</v>
      </c>
      <c r="AE40" s="43" t="n">
        <v>0</v>
      </c>
      <c r="AF40" s="47">
        <f>SUM(S40:AE40)</f>
        <v>20</v>
      </c>
      <c r="AG40" s="43" t="n"/>
      <c r="AH40" s="43" t="inlineStr">
        <is>
          <t>8 of the 16 ports are Neutrik etherCON (front), 8 standard RJ45 (rear). Slot ships with APM414V: 4x SFP28 (17-20), 10G or 25G only. Other cards: APM414C 4x 10GBASE-T, APM414SD/LD opticalCON QUAD (MMF/SMF)</t>
        </is>
      </c>
      <c r="AI40" s="43" t="n">
        <v>16</v>
      </c>
      <c r="AJ40" s="43" t="inlineStr">
        <is>
          <t>802.3bt Ultra90 PoE++</t>
        </is>
      </c>
      <c r="AK40" s="43" t="n">
        <v>90</v>
      </c>
      <c r="AL40" s="48" t="n">
        <v>530</v>
      </c>
      <c r="AM40" s="48" t="n">
        <v>1130</v>
      </c>
      <c r="AN40" s="43" t="n">
        <v>530</v>
      </c>
      <c r="AO40" s="49">
        <f>IFERROR(AM40/AI40,"")</f>
        <v>70.625</v>
      </c>
      <c r="AP40" s="43" t="n"/>
      <c r="AQ40" s="51" t="n"/>
      <c r="AR40" s="43" t="n"/>
      <c r="AS40" s="43" t="inlineStr">
        <is>
          <t>2x internal 800W (powerCON), 1+1</t>
        </is>
      </c>
      <c r="AT40" s="43" t="n">
        <v>800</v>
      </c>
      <c r="AU40" s="43" t="n">
        <v>2</v>
      </c>
      <c r="AV40" s="43" t="n">
        <v>0</v>
      </c>
      <c r="AW40" s="43" t="inlineStr">
        <is>
          <t>None (2 internal)</t>
        </is>
      </c>
      <c r="AX40" s="43" t="n">
        <v>50.6</v>
      </c>
      <c r="AY40" s="43" t="n">
        <v>109.6</v>
      </c>
      <c r="AZ40" s="43" t="n">
        <v>1359.8</v>
      </c>
      <c r="BA40" s="50">
        <f>IF(MAX(AY40,AZ40)=0,"",ROUND(MAX(AY40,AZ40)*3.412,0))</f>
        <v>4640</v>
      </c>
      <c r="BB40" s="48" t="n">
        <v>280</v>
      </c>
      <c r="BC40" s="46" t="n">
        <v>208.32</v>
      </c>
      <c r="BD40" s="43" t="n">
        <v>32</v>
      </c>
      <c r="BE40" s="43" t="n">
        <v>4</v>
      </c>
      <c r="BF40" s="43" t="inlineStr">
        <is>
          <t>Quad-core Cortex-A57 1.8GHz</t>
        </is>
      </c>
      <c r="BG40" s="48" t="n">
        <v>16384</v>
      </c>
      <c r="BH40" s="43" t="n">
        <v>4093</v>
      </c>
      <c r="BI40" s="43" t="inlineStr">
        <is>
          <t>2K IPv4 / 2K IPv6</t>
        </is>
      </c>
      <c r="BJ40" s="43" t="n"/>
      <c r="BK40" s="43" t="inlineStr">
        <is>
          <t>Full L3 (static, RIP, OSPF, VRRP, PIM-SM/DM, PBR)</t>
        </is>
      </c>
      <c r="BL40" s="43" t="inlineStr">
        <is>
          <t>Yes (NSF)</t>
        </is>
      </c>
      <c r="BM40" s="43" t="n">
        <v>8</v>
      </c>
      <c r="BN40" s="43" t="inlineStr">
        <is>
          <t>Yes (exclusive with stacking)</t>
        </is>
      </c>
      <c r="BO40" s="43" t="inlineStr">
        <is>
          <t>PTPv2 TC + Boundary/Grandmaster (SMPTE 2059-2, AES67, AES-R16)</t>
        </is>
      </c>
      <c r="BP40" s="43" t="inlineStr">
        <is>
          <t>Yes</t>
        </is>
      </c>
      <c r="BQ40" s="43" t="inlineStr">
        <is>
          <t>Yes</t>
        </is>
      </c>
      <c r="BR40" s="43" t="inlineStr">
        <is>
          <t>Yes</t>
        </is>
      </c>
      <c r="BS40" s="43" t="inlineStr">
        <is>
          <t>No</t>
        </is>
      </c>
      <c r="BT40" s="43" t="n">
        <v>45</v>
      </c>
      <c r="BU40" s="43" t="inlineStr">
        <is>
          <t>Front-to-back</t>
        </is>
      </c>
      <c r="BV40" s="43" t="inlineStr">
        <is>
          <t>No (Quiet / Cool modes)</t>
        </is>
      </c>
      <c r="BW40" s="43" t="n">
        <v>35.6</v>
      </c>
      <c r="BX40" s="48" t="n">
        <v>355650</v>
      </c>
      <c r="BY40" s="43" t="inlineStr">
        <is>
          <t>ProSAFE Limited Lifetime HW; Lifetime NBD replacement</t>
        </is>
      </c>
      <c r="BZ40" s="43" t="inlineStr">
        <is>
          <t>Sprint / Overdrive</t>
        </is>
      </c>
      <c r="CA40" s="43" t="inlineStr">
        <is>
          <t>Yes (-TAANES)</t>
        </is>
      </c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inlineStr">
        <is>
          <t>M4350 datasheet DS-M4350-03Jul26 (M4350_Datasheet.pdf)</t>
        </is>
      </c>
      <c r="CL40" s="43" t="inlineStr">
        <is>
          <t>2026-10-01</t>
        </is>
      </c>
      <c r="CM40" s="51" t="inlineStr">
        <is>
          <t>Ports modelled with the shipping APM414V card (4x SFP28). Packet buffer and RAM assumed as 8M2V. powerCON inputs, C14 adapters included</t>
        </is>
      </c>
      <c r="CN40" s="51" t="inlineStr">
        <is>
          <t>Sprint, Overdrive, Fastlane</t>
        </is>
      </c>
      <c r="CO40" s="51" t="inlineStr">
        <is>
          <t>Sprint 3 yr</t>
        </is>
      </c>
      <c r="CP40" s="51" t="n">
        <v>8</v>
      </c>
    </row>
  </sheetData>
  <mergeCells count="2">
    <mergeCell ref="A1:CP1"/>
    <mergeCell ref="A2:CP2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  <row r="150" ht="15" customHeight="1" s="29">
      <c r="A150" s="43" t="inlineStr">
        <is>
          <t>CSM4316</t>
        </is>
      </c>
      <c r="B150" s="43" t="inlineStr">
        <is>
          <t>M4350-16C</t>
        </is>
      </c>
      <c r="C150" s="43" t="inlineStr">
        <is>
          <t>CSM4316-100NES</t>
        </is>
      </c>
      <c r="D150" s="43" t="inlineStr">
        <is>
          <t>Americas / Europe</t>
        </is>
      </c>
      <c r="E150" s="43" t="inlineStr">
        <is>
          <t>NA, UK, EU cords</t>
        </is>
      </c>
      <c r="F150" s="43" t="inlineStr">
        <is>
          <t>No</t>
        </is>
      </c>
      <c r="G150" s="43" t="n"/>
    </row>
    <row r="151" ht="15" customHeight="1" s="29">
      <c r="A151" s="43" t="inlineStr">
        <is>
          <t>CSM4316</t>
        </is>
      </c>
      <c r="B151" s="43" t="inlineStr">
        <is>
          <t>M4350-16C</t>
        </is>
      </c>
      <c r="C151" s="43" t="inlineStr">
        <is>
          <t>CSM4316-TAANES</t>
        </is>
      </c>
      <c r="D151" s="43" t="inlineStr">
        <is>
          <t>Americas (TAA)</t>
        </is>
      </c>
      <c r="E151" s="43" t="inlineStr">
        <is>
          <t>NA, UK, EU cords</t>
        </is>
      </c>
      <c r="F151" s="43" t="inlineStr">
        <is>
          <t>Yes</t>
        </is>
      </c>
      <c r="G151" s="43" t="n"/>
    </row>
    <row r="152" ht="15" customHeight="1" s="29">
      <c r="A152" s="43" t="inlineStr">
        <is>
          <t>CSM4316</t>
        </is>
      </c>
      <c r="B152" s="43" t="inlineStr">
        <is>
          <t>M4350-16C</t>
        </is>
      </c>
      <c r="C152" s="43" t="inlineStr">
        <is>
          <t>CSM4316-100AJS</t>
        </is>
      </c>
      <c r="D152" s="43" t="inlineStr">
        <is>
          <t>Asia Pacific</t>
        </is>
      </c>
      <c r="E152" s="43" t="inlineStr">
        <is>
          <t>JP, AU cords</t>
        </is>
      </c>
      <c r="F152" s="43" t="inlineStr">
        <is>
          <t>No</t>
        </is>
      </c>
      <c r="G152" s="43" t="n"/>
    </row>
    <row r="153" ht="15" customHeight="1" s="29">
      <c r="A153" s="43" t="inlineStr">
        <is>
          <t>CSM4316</t>
        </is>
      </c>
      <c r="B153" s="43" t="inlineStr">
        <is>
          <t>M4350-16C</t>
        </is>
      </c>
      <c r="C153" s="43" t="inlineStr">
        <is>
          <t>CSM4316-100PRS</t>
        </is>
      </c>
      <c r="D153" s="43" t="inlineStr">
        <is>
          <t>China</t>
        </is>
      </c>
      <c r="E153" s="43" t="inlineStr">
        <is>
          <t>CN cord</t>
        </is>
      </c>
      <c r="F153" s="43" t="inlineStr">
        <is>
          <t>No</t>
        </is>
      </c>
      <c r="G153" s="43" t="n"/>
    </row>
    <row r="154" ht="15" customHeight="1" s="29">
      <c r="A154" s="43" t="inlineStr">
        <is>
          <t>MSM4320</t>
        </is>
      </c>
      <c r="B154" s="43" t="inlineStr">
        <is>
          <t>M4350-16M4V</t>
        </is>
      </c>
      <c r="C154" s="43" t="inlineStr">
        <is>
          <t>MSM4320-100NES</t>
        </is>
      </c>
      <c r="D154" s="43" t="inlineStr">
        <is>
          <t>Americas / Europe</t>
        </is>
      </c>
      <c r="E154" s="43" t="inlineStr">
        <is>
          <t>NA, UK, EU cords</t>
        </is>
      </c>
      <c r="F154" s="43" t="inlineStr">
        <is>
          <t>No</t>
        </is>
      </c>
      <c r="G154" s="43" t="n"/>
    </row>
    <row r="155" ht="15" customHeight="1" s="29">
      <c r="A155" s="43" t="inlineStr">
        <is>
          <t>MSM4320</t>
        </is>
      </c>
      <c r="B155" s="43" t="inlineStr">
        <is>
          <t>M4350-16M4V</t>
        </is>
      </c>
      <c r="C155" s="43" t="inlineStr">
        <is>
          <t>MSM4320-TAANES</t>
        </is>
      </c>
      <c r="D155" s="43" t="inlineStr">
        <is>
          <t>Americas (TAA)</t>
        </is>
      </c>
      <c r="E155" s="43" t="inlineStr">
        <is>
          <t>NA, UK, EU cords</t>
        </is>
      </c>
      <c r="F155" s="43" t="inlineStr">
        <is>
          <t>Yes</t>
        </is>
      </c>
      <c r="G155" s="43" t="n"/>
    </row>
    <row r="156" ht="15" customHeight="1" s="29">
      <c r="A156" s="43" t="inlineStr">
        <is>
          <t>MSM4320</t>
        </is>
      </c>
      <c r="B156" s="43" t="inlineStr">
        <is>
          <t>M4350-16M4V</t>
        </is>
      </c>
      <c r="C156" s="43" t="inlineStr">
        <is>
          <t>MSM4320-100AJS</t>
        </is>
      </c>
      <c r="D156" s="43" t="inlineStr">
        <is>
          <t>Asia Pacific</t>
        </is>
      </c>
      <c r="E156" s="43" t="inlineStr">
        <is>
          <t>JP, AU cords</t>
        </is>
      </c>
      <c r="F156" s="43" t="inlineStr">
        <is>
          <t>No</t>
        </is>
      </c>
      <c r="G156" s="43" t="n"/>
    </row>
    <row r="157" ht="15" customHeight="1" s="29">
      <c r="A157" s="43" t="inlineStr">
        <is>
          <t>MSM4320</t>
        </is>
      </c>
      <c r="B157" s="43" t="inlineStr">
        <is>
          <t>M4350-16M4V</t>
        </is>
      </c>
      <c r="C157" s="43" t="inlineStr">
        <is>
          <t>MSM4320-100PRS</t>
        </is>
      </c>
      <c r="D157" s="43" t="inlineStr">
        <is>
          <t>China</t>
        </is>
      </c>
      <c r="E157" s="43" t="inlineStr">
        <is>
          <t>CN cord</t>
        </is>
      </c>
      <c r="F157" s="43" t="inlineStr">
        <is>
          <t>No</t>
        </is>
      </c>
      <c r="G157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inlineStr">
        <is>
          <t>Legacy OnCall (ProSupport): not sold for products purchased after 2026-04-13; replaced by Sprint / Overdrive / Fastlane. Not used by the tool</t>
        </is>
      </c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inlineStr">
        <is>
          <t>Legacy OnCall (ProSupport): not sold for products purchased after 2026-04-13; replaced by Sprint / Overdrive / Fastlane. Not used by the tool</t>
        </is>
      </c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inlineStr">
        <is>
          <t>Legacy OnCall (ProSupport): not sold for products purchased after 2026-04-13; replaced by Sprint / Overdrive / Fastlane. Not used by the tool</t>
        </is>
      </c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inlineStr">
        <is>
          <t>Legacy OnCall (ProSupport): not sold for products purchased after 2026-04-13; replaced by Sprint / Overdrive / Fastlane. Not used by the tool</t>
        </is>
      </c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inlineStr">
        <is>
          <t>Legacy OnCall (ProSupport): not sold for products purchased after 2026-04-13; replaced by Sprint / Overdrive / Fastlane. Not used by the tool</t>
        </is>
      </c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inlineStr">
        <is>
          <t>Legacy OnCall (ProSupport): not sold for products purchased after 2026-04-13; replaced by Sprint / Overdrive / Fastlane. Not used by the tool</t>
        </is>
      </c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inlineStr">
        <is>
          <t>Legacy OnCall (ProSupport): not sold for products purchased after 2026-04-13; replaced by Sprint / Overdrive / Fastlane. Not used by the tool</t>
        </is>
      </c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inlineStr">
        <is>
          <t>Legacy OnCall (ProSupport): not sold for products purchased after 2026-04-13; replaced by Sprint / Overdrive / Fastlane. Not used by the tool</t>
        </is>
      </c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inlineStr">
        <is>
          <t>Legacy OnCall (ProSupport): not sold for products purchased after 2026-04-13; replaced by Sprint / Overdrive / Fastlane. Not used by the tool</t>
        </is>
      </c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</row>
    <row r="128" ht="23.85" customHeight="1" s="29">
      <c r="A128" s="43" t="inlineStr">
        <is>
          <t>APM414V-10000S</t>
        </is>
      </c>
      <c r="B128" s="43" t="inlineStr">
        <is>
          <t>APM414V</t>
        </is>
      </c>
      <c r="C128" s="43" t="inlineStr">
        <is>
          <t>Interface Card</t>
        </is>
      </c>
      <c r="D128" s="51" t="inlineStr">
        <is>
          <t>APM414V card: 4x standard SFP28 (10G/25G), ships pre-installed in the M4350-16M4V</t>
        </is>
      </c>
      <c r="E128" s="43" t="inlineStr">
        <is>
          <t>Card</t>
        </is>
      </c>
      <c r="F128" s="43" t="n"/>
      <c r="G128" s="43" t="n"/>
      <c r="H128" s="43" t="inlineStr">
        <is>
          <t>SFP28</t>
        </is>
      </c>
      <c r="I128" s="43" t="n"/>
      <c r="J128" s="43" t="n"/>
      <c r="K128" s="43" t="n"/>
      <c r="L128" s="43" t="n"/>
      <c r="M128" s="43" t="n"/>
      <c r="N128" s="43" t="n"/>
      <c r="O128" s="43" t="inlineStr">
        <is>
          <t>Lifetime</t>
        </is>
      </c>
      <c r="P128" s="43" t="inlineStr">
        <is>
          <t>M4350 datasheet DS-M4350-03Jul26 (M4350_Datasheet.pdf)</t>
        </is>
      </c>
      <c r="Q128" s="43" t="inlineStr">
        <is>
          <t>Included with MSM4320. AOC recommended for 25G (passive DAC can take 15-70 s to link)</t>
        </is>
      </c>
    </row>
    <row r="129" ht="23.85" customHeight="1" s="29">
      <c r="A129" s="43" t="inlineStr">
        <is>
          <t>APM414C-10000S</t>
        </is>
      </c>
      <c r="B129" s="43" t="inlineStr">
        <is>
          <t>APM414C</t>
        </is>
      </c>
      <c r="C129" s="43" t="inlineStr">
        <is>
          <t>Interface Card</t>
        </is>
      </c>
      <c r="D129" s="51" t="inlineStr">
        <is>
          <t>APM414C card: 4x 10GBASE-T RJ45 (1G/10G only)</t>
        </is>
      </c>
      <c r="E129" s="43" t="inlineStr">
        <is>
          <t>Card</t>
        </is>
      </c>
      <c r="F129" s="43" t="n"/>
      <c r="G129" s="43" t="n"/>
      <c r="H129" s="43" t="inlineStr">
        <is>
          <t>RJ45</t>
        </is>
      </c>
      <c r="I129" s="43" t="n"/>
      <c r="J129" s="43" t="n"/>
      <c r="K129" s="43" t="n"/>
      <c r="L129" s="43" t="n"/>
      <c r="M129" s="43" t="n"/>
      <c r="N129" s="43" t="n"/>
      <c r="O129" s="43" t="inlineStr">
        <is>
          <t>Lifetime</t>
        </is>
      </c>
      <c r="P129" s="43" t="inlineStr">
        <is>
          <t>M4350 datasheet DS-M4350-03Jul26 (M4350_Datasheet.pdf)</t>
        </is>
      </c>
      <c r="Q129" s="43" t="inlineStr">
        <is>
          <t>Optional for MSM4320. No 100M/2.5G/5G</t>
        </is>
      </c>
    </row>
    <row r="130" ht="23.85" customHeight="1" s="29">
      <c r="A130" s="43" t="inlineStr">
        <is>
          <t>APM414SD-10000S</t>
        </is>
      </c>
      <c r="B130" s="43" t="inlineStr">
        <is>
          <t>APM414SD</t>
        </is>
      </c>
      <c r="C130" s="43" t="inlineStr">
        <is>
          <t>Interface Card</t>
        </is>
      </c>
      <c r="D130" s="51" t="inlineStr">
        <is>
          <t>APM414SD card: 2x Neutrik opticalCON QUAD, 4 internal SFP28 cages for 10G/25G multimode transceivers</t>
        </is>
      </c>
      <c r="E130" s="43" t="inlineStr">
        <is>
          <t>Card</t>
        </is>
      </c>
      <c r="F130" s="43" t="n"/>
      <c r="G130" s="43" t="inlineStr">
        <is>
          <t>MMF</t>
        </is>
      </c>
      <c r="H130" s="43" t="inlineStr">
        <is>
          <t>opticalCON QUAD</t>
        </is>
      </c>
      <c r="I130" s="43" t="n"/>
      <c r="J130" s="43" t="n"/>
      <c r="K130" s="43" t="n"/>
      <c r="L130" s="43" t="n"/>
      <c r="M130" s="43" t="n"/>
      <c r="N130" s="43" t="n"/>
      <c r="O130" s="43" t="inlineStr">
        <is>
          <t>Lifetime</t>
        </is>
      </c>
      <c r="P130" s="43" t="inlineStr">
        <is>
          <t>M4350 datasheet DS-M4350-03Jul26 (M4350_Datasheet.pdf)</t>
        </is>
      </c>
      <c r="Q130" s="43" t="inlineStr">
        <is>
          <t>Optional for MSM4320. Includes 4 MMF patch cords to the opticalCON connectors; transceivers ordered separately</t>
        </is>
      </c>
    </row>
    <row r="131" ht="23.85" customHeight="1" s="29">
      <c r="A131" s="43" t="inlineStr">
        <is>
          <t>APM414LD-10000S</t>
        </is>
      </c>
      <c r="B131" s="43" t="inlineStr">
        <is>
          <t>APM414LD</t>
        </is>
      </c>
      <c r="C131" s="43" t="inlineStr">
        <is>
          <t>Interface Card</t>
        </is>
      </c>
      <c r="D131" s="51" t="inlineStr">
        <is>
          <t>APM414LD card: 2x Neutrik opticalCON QUAD, 4 internal SFP28 cages for 10G/25G single mode transceivers</t>
        </is>
      </c>
      <c r="E131" s="43" t="inlineStr">
        <is>
          <t>Card</t>
        </is>
      </c>
      <c r="F131" s="43" t="n"/>
      <c r="G131" s="43" t="inlineStr">
        <is>
          <t>SMF</t>
        </is>
      </c>
      <c r="H131" s="43" t="inlineStr">
        <is>
          <t>opticalCON QUAD</t>
        </is>
      </c>
      <c r="I131" s="43" t="n"/>
      <c r="J131" s="43" t="n"/>
      <c r="K131" s="43" t="n"/>
      <c r="L131" s="43" t="n"/>
      <c r="M131" s="43" t="n"/>
      <c r="N131" s="43" t="n"/>
      <c r="O131" s="43" t="inlineStr">
        <is>
          <t>Lifetime</t>
        </is>
      </c>
      <c r="P131" s="43" t="inlineStr">
        <is>
          <t>M4350 datasheet DS-M4350-03Jul26 (M4350_Datasheet.pdf)</t>
        </is>
      </c>
      <c r="Q131" s="43" t="inlineStr">
        <is>
          <t>Optional for MSM4320. Includes 4 SMF patch cords to the opticalCON connectors; transceivers ordered separately</t>
        </is>
      </c>
    </row>
  </sheetData>
  <mergeCells count="2">
    <mergeCell ref="A2:Q2"/>
    <mergeCell ref="A1:Q1"/>
  </mergeCells>
  <dataValidations count="1">
    <dataValidation sqref="C5:C1000" showDropDown="0" showInputMessage="0" showErrorMessage="0" allowBlank="1" type="list" errorStyle="stop" operator="between">
      <formula1>Lists!$H$5:$H$18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 s="29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  <row r="173">
      <c r="A173" s="43" t="inlineStr">
        <is>
          <t>Product</t>
        </is>
      </c>
      <c r="B173" s="43" t="inlineStr">
        <is>
          <t>MSM4320</t>
        </is>
      </c>
      <c r="C173" s="43" t="inlineStr">
        <is>
          <t>Interface card slot</t>
        </is>
      </c>
      <c r="D173" s="43" t="inlineStr">
        <is>
          <t>APM414V</t>
        </is>
      </c>
      <c r="E173" s="43" t="inlineStr">
        <is>
          <t>Interface card (included)</t>
        </is>
      </c>
      <c r="F173" s="43" t="n">
        <v>1</v>
      </c>
      <c r="G173" s="43" t="inlineStr">
        <is>
          <t>Ships installed; 4x SFP28 10G/25G</t>
        </is>
      </c>
    </row>
    <row r="174">
      <c r="A174" s="43" t="inlineStr">
        <is>
          <t>Product</t>
        </is>
      </c>
      <c r="B174" s="43" t="inlineStr">
        <is>
          <t>MSM4320</t>
        </is>
      </c>
      <c r="C174" s="43" t="inlineStr">
        <is>
          <t>Interface card slot</t>
        </is>
      </c>
      <c r="D174" s="43" t="inlineStr">
        <is>
          <t>APM414C</t>
        </is>
      </c>
      <c r="E174" s="43" t="inlineStr">
        <is>
          <t>Optional interface card</t>
        </is>
      </c>
      <c r="F174" s="43" t="n">
        <v>1</v>
      </c>
      <c r="G174" s="43" t="inlineStr">
        <is>
          <t>Replaces APM414V: 4x 10GBASE-T</t>
        </is>
      </c>
    </row>
    <row r="175">
      <c r="A175" s="43" t="inlineStr">
        <is>
          <t>Product</t>
        </is>
      </c>
      <c r="B175" s="43" t="inlineStr">
        <is>
          <t>MSM4320</t>
        </is>
      </c>
      <c r="C175" s="43" t="inlineStr">
        <is>
          <t>Interface card slot</t>
        </is>
      </c>
      <c r="D175" s="43" t="inlineStr">
        <is>
          <t>APM414SD</t>
        </is>
      </c>
      <c r="E175" s="43" t="inlineStr">
        <is>
          <t>Optional interface card</t>
        </is>
      </c>
      <c r="F175" s="43" t="n">
        <v>1</v>
      </c>
      <c r="G175" s="43" t="inlineStr">
        <is>
          <t>Replaces APM414V: opticalCON QUAD, multimode optics in internal cages</t>
        </is>
      </c>
    </row>
    <row r="176">
      <c r="A176" s="43" t="inlineStr">
        <is>
          <t>Product</t>
        </is>
      </c>
      <c r="B176" s="43" t="inlineStr">
        <is>
          <t>MSM4320</t>
        </is>
      </c>
      <c r="C176" s="43" t="inlineStr">
        <is>
          <t>Interface card slot</t>
        </is>
      </c>
      <c r="D176" s="43" t="inlineStr">
        <is>
          <t>APM414LD</t>
        </is>
      </c>
      <c r="E176" s="43" t="inlineStr">
        <is>
          <t>Optional interface card</t>
        </is>
      </c>
      <c r="F176" s="43" t="n">
        <v>1</v>
      </c>
      <c r="G176" s="43" t="inlineStr">
        <is>
          <t>Replaces APM414V: opticalCON QUAD, single mode optics in internal cages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  <row r="108" ht="15" customHeight="1" s="29">
      <c r="A108" s="43" t="inlineStr">
        <is>
          <t>CSM4316</t>
        </is>
      </c>
      <c r="B108" s="43" t="inlineStr">
        <is>
          <t>M4350-16C</t>
        </is>
      </c>
      <c r="C108" s="43" t="inlineStr">
        <is>
          <t>420W internal</t>
        </is>
      </c>
      <c r="D108" s="43" t="inlineStr">
        <is>
          <t>None</t>
        </is>
      </c>
      <c r="E108" s="43" t="n">
        <v>0</v>
      </c>
      <c r="F108" s="43" t="inlineStr">
        <is>
          <t>110-240 VAC</t>
        </is>
      </c>
      <c r="G108" s="48" t="n"/>
      <c r="H108" s="48" t="n"/>
      <c r="I108" s="48" t="n"/>
      <c r="J108" s="50">
        <f>IF(COUNT(H108,I108)=0,"",MIN(H108,I108))</f>
      </c>
      <c r="K108" s="43" t="inlineStr">
        <is>
          <t>Base (no module)</t>
        </is>
      </c>
      <c r="L108" s="43" t="inlineStr">
        <is>
          <t>Base budget, no redundancy</t>
        </is>
      </c>
    </row>
    <row r="109" ht="15" customHeight="1" s="29">
      <c r="A109" s="43" t="inlineStr">
        <is>
          <t>CSM4316</t>
        </is>
      </c>
      <c r="B109" s="43" t="inlineStr">
        <is>
          <t>M4350-16C</t>
        </is>
      </c>
      <c r="C109" s="43" t="inlineStr">
        <is>
          <t>420W internal</t>
        </is>
      </c>
      <c r="D109" s="43" t="inlineStr">
        <is>
          <t>APS600Wv3</t>
        </is>
      </c>
      <c r="E109" s="43" t="n">
        <v>1</v>
      </c>
      <c r="F109" s="43" t="inlineStr">
        <is>
          <t>110-240 VAC</t>
        </is>
      </c>
      <c r="G109" s="48" t="n"/>
      <c r="H109" s="48" t="n"/>
      <c r="I109" s="48" t="n"/>
      <c r="J109" s="50">
        <f>IF(COUNT(H109,I109)=0,"",MIN(H109,I109))</f>
      </c>
      <c r="K109" s="43" t="inlineStr">
        <is>
          <t>1x APS600Wv3</t>
        </is>
      </c>
      <c r="L109" s="43" t="n"/>
    </row>
    <row r="110" ht="15" customHeight="1" s="29">
      <c r="A110" s="43" t="inlineStr">
        <is>
          <t>CSM4316</t>
        </is>
      </c>
      <c r="B110" s="43" t="inlineStr">
        <is>
          <t>M4350-16C</t>
        </is>
      </c>
      <c r="C110" s="43" t="inlineStr">
        <is>
          <t>420W internal</t>
        </is>
      </c>
      <c r="D110" s="43" t="inlineStr">
        <is>
          <t>APS1200Wv2</t>
        </is>
      </c>
      <c r="E110" s="43" t="n">
        <v>1</v>
      </c>
      <c r="F110" s="43" t="inlineStr">
        <is>
          <t>110 VAC</t>
        </is>
      </c>
      <c r="G110" s="48" t="n"/>
      <c r="H110" s="48" t="n"/>
      <c r="I110" s="48" t="n"/>
      <c r="J110" s="50">
        <f>IF(COUNT(H110,I110)=0,"",MIN(H110,I110))</f>
      </c>
      <c r="K110" s="43" t="inlineStr">
        <is>
          <t>1x APS1200Wv2 @110V</t>
        </is>
      </c>
      <c r="L110" s="43" t="n"/>
    </row>
    <row r="111" ht="15" customHeight="1" s="29">
      <c r="A111" s="43" t="inlineStr">
        <is>
          <t>CSM4316</t>
        </is>
      </c>
      <c r="B111" s="43" t="inlineStr">
        <is>
          <t>M4350-16C</t>
        </is>
      </c>
      <c r="C111" s="43" t="inlineStr">
        <is>
          <t>420W internal</t>
        </is>
      </c>
      <c r="D111" s="43" t="inlineStr">
        <is>
          <t>APS1200Wv2</t>
        </is>
      </c>
      <c r="E111" s="43" t="n">
        <v>1</v>
      </c>
      <c r="F111" s="43" t="inlineStr">
        <is>
          <t>220 VAC</t>
        </is>
      </c>
      <c r="G111" s="48" t="n"/>
      <c r="H111" s="48" t="n"/>
      <c r="I111" s="48" t="n"/>
      <c r="J111" s="50">
        <f>IF(COUNT(H111,I111)=0,"",MIN(H111,I111))</f>
      </c>
      <c r="K111" s="43" t="inlineStr">
        <is>
          <t>1x APS1200Wv2 @220V</t>
        </is>
      </c>
      <c r="L111" s="43" t="n"/>
    </row>
    <row r="112" ht="15" customHeight="1" s="29">
      <c r="A112" s="43" t="inlineStr">
        <is>
          <t>CSM4316</t>
        </is>
      </c>
      <c r="B112" s="43" t="inlineStr">
        <is>
          <t>M4350-16C</t>
        </is>
      </c>
      <c r="C112" s="43" t="inlineStr">
        <is>
          <t>420W internal</t>
        </is>
      </c>
      <c r="D112" s="43" t="inlineStr">
        <is>
          <t>APS2000Wv2</t>
        </is>
      </c>
      <c r="E112" s="43" t="n">
        <v>1</v>
      </c>
      <c r="F112" s="43" t="inlineStr">
        <is>
          <t>110 VAC</t>
        </is>
      </c>
      <c r="G112" s="48" t="n"/>
      <c r="H112" s="48" t="n"/>
      <c r="I112" s="48" t="n"/>
      <c r="J112" s="50">
        <f>IF(COUNT(H112,I112)=0,"",MIN(H112,I112))</f>
      </c>
      <c r="K112" s="43" t="inlineStr">
        <is>
          <t>1x APS2000Wv2 @110V</t>
        </is>
      </c>
      <c r="L112" s="43" t="n"/>
    </row>
    <row r="113" ht="15" customHeight="1" s="29">
      <c r="A113" s="43" t="inlineStr">
        <is>
          <t>CSM4316</t>
        </is>
      </c>
      <c r="B113" s="43" t="inlineStr">
        <is>
          <t>M4350-16C</t>
        </is>
      </c>
      <c r="C113" s="43" t="inlineStr">
        <is>
          <t>420W internal</t>
        </is>
      </c>
      <c r="D113" s="43" t="inlineStr">
        <is>
          <t>APS2000Wv2</t>
        </is>
      </c>
      <c r="E113" s="43" t="n">
        <v>1</v>
      </c>
      <c r="F113" s="43" t="inlineStr">
        <is>
          <t>220 VAC</t>
        </is>
      </c>
      <c r="G113" s="48" t="n"/>
      <c r="H113" s="48" t="n"/>
      <c r="I113" s="48" t="n"/>
      <c r="J113" s="50">
        <f>IF(COUNT(H113,I113)=0,"",MIN(H113,I113))</f>
      </c>
      <c r="K113" s="43" t="inlineStr">
        <is>
          <t>1x APS2000Wv2 @220V</t>
        </is>
      </c>
      <c r="L113" s="43" t="n"/>
    </row>
    <row r="114" ht="15" customHeight="1" s="29">
      <c r="A114" s="43" t="inlineStr">
        <is>
          <t>MSM4320</t>
        </is>
      </c>
      <c r="B114" s="43" t="inlineStr">
        <is>
          <t>M4350-16M4V</t>
        </is>
      </c>
      <c r="C114" s="43" t="inlineStr">
        <is>
          <t>2x 800W internal</t>
        </is>
      </c>
      <c r="D114" s="43" t="inlineStr">
        <is>
          <t>(internal PSUs)</t>
        </is>
      </c>
      <c r="E114" s="43" t="n">
        <v>1</v>
      </c>
      <c r="F114" s="43" t="inlineStr">
        <is>
          <t>110-240 VAC</t>
        </is>
      </c>
      <c r="G114" s="48" t="n">
        <v>530</v>
      </c>
      <c r="H114" s="48" t="n"/>
      <c r="I114" s="48" t="n"/>
      <c r="J114" s="50">
        <f>IF(COUNT(H114,I114)=0,"",MIN(H114,I114))</f>
      </c>
      <c r="K114" s="43" t="inlineStr">
        <is>
          <t>1 of 2 PSUs powered</t>
        </is>
      </c>
      <c r="L114" s="43" t="inlineStr">
        <is>
          <t>No redundancy</t>
        </is>
      </c>
    </row>
    <row r="115" ht="15" customHeight="1" s="29">
      <c r="A115" s="43" t="inlineStr">
        <is>
          <t>MSM4320</t>
        </is>
      </c>
      <c r="B115" s="43" t="inlineStr">
        <is>
          <t>M4350-16M4V</t>
        </is>
      </c>
      <c r="C115" s="43" t="inlineStr">
        <is>
          <t>2x 800W internal</t>
        </is>
      </c>
      <c r="D115" s="43" t="inlineStr">
        <is>
          <t>(internal PSUs)</t>
        </is>
      </c>
      <c r="E115" s="43" t="n">
        <v>2</v>
      </c>
      <c r="F115" s="43" t="inlineStr">
        <is>
          <t>110-240 VAC</t>
        </is>
      </c>
      <c r="G115" s="48" t="n">
        <v>1130</v>
      </c>
      <c r="H115" s="48" t="n"/>
      <c r="I115" s="48" t="n">
        <v>530</v>
      </c>
      <c r="J115" s="50">
        <f>IF(COUNT(H115,I115)=0,"",MIN(H115,I115))</f>
        <v>530</v>
      </c>
      <c r="K115" s="43" t="inlineStr">
        <is>
          <t>2 of 2 PSUs powered</t>
        </is>
      </c>
      <c r="L115" s="43" t="inlineStr">
        <is>
          <t>1+1: 530W protected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  <row r="24" ht="23.85" customHeight="1" s="29">
      <c r="A24" s="43" t="inlineStr">
        <is>
          <t>R20</t>
        </is>
      </c>
      <c r="B24" s="43" t="inlineStr">
        <is>
          <t>M4350-16M4V</t>
        </is>
      </c>
      <c r="C24" s="43" t="inlineStr">
        <is>
          <t>Ports</t>
        </is>
      </c>
      <c r="D24" s="51" t="inlineStr">
        <is>
          <t>One interface card slot: APM414V (4x SFP28, installed), APM414C (4x 10GBASE-T), APM414SD/LD (opticalCON QUAD, MMF/SMF). One card at a time.</t>
        </is>
      </c>
      <c r="E24" s="51" t="inlineStr">
        <is>
          <t>Uplink media follows the card; opticalCON cards need SFP28/SFP+ transceivers in the internal cages and Neutrik opticalCON field cables.</t>
        </is>
      </c>
      <c r="F24" s="43" t="inlineStr">
        <is>
          <t>M4350 datasheet DS-M4350-03Jul26 (M4350_Datasheet.pdf)</t>
        </is>
      </c>
    </row>
    <row r="25" ht="23.85" customHeight="1" s="29">
      <c r="A25" s="43" t="inlineStr">
        <is>
          <t>R21</t>
        </is>
      </c>
      <c r="B25" s="43" t="inlineStr">
        <is>
          <t>M4350 (all)</t>
        </is>
      </c>
      <c r="C25" s="43" t="inlineStr">
        <is>
          <t>AVB</t>
        </is>
      </c>
      <c r="D25" s="51" t="inlineStr">
        <is>
          <t>In a LAG only one physical link carries AVB payload; the other links are backup.</t>
        </is>
      </c>
      <c r="E25" s="51" t="inlineStr">
        <is>
          <t>AVB bandwidth through a LAG is one link, not the LAG total.</t>
        </is>
      </c>
      <c r="F25" s="43" t="inlineStr">
        <is>
          <t>M4350 datasheet DS-M4350-03Jul26 (M4350_Datasheet.pdf)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 s="29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  <row r="19">
      <c r="A19" s="43" t="inlineStr">
        <is>
          <t>EP-2110-AUDIO</t>
        </is>
      </c>
      <c r="B19" s="43" t="inlineStr">
        <is>
          <t>ST 2110-30 / AES67 audio device</t>
        </is>
      </c>
      <c r="C19" s="43" t="inlineStr">
        <is>
          <t>Audio</t>
        </is>
      </c>
      <c r="D19" s="43" t="n">
        <v>1</v>
      </c>
      <c r="E19" s="43" t="inlineStr">
        <is>
          <t>Copper</t>
        </is>
      </c>
      <c r="F19" s="45" t="n">
        <v>13</v>
      </c>
      <c r="G19" s="43" t="n">
        <v>10</v>
      </c>
      <c r="H19" s="43" t="n"/>
      <c r="I19" s="43" t="inlineStr">
        <is>
          <t>PTP (SMPTE 2059-2 / AES67) via boundary clock switches. Clear Timing if your design uses transparent clock only</t>
        </is>
      </c>
      <c r="J19" s="43" t="inlineStr">
        <is>
          <t>PTP-BC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2026.10.01c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{tier}-{pid}-{months}</t>
        </is>
      </c>
      <c r="C9" s="51" t="inlineStr">
        <is>
          <t>tier = SPR (Sprint), DRV (Overdrive), FLS (Fastlane); pid = Product_ID; months = 12/36/60. Source: Confluence SSO "Support 2.0 Update" (Apr 2026)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Default_Spare_Pct</t>
        </is>
      </c>
      <c r="B11" s="43" t="inlineStr">
        <is>
          <t>10</t>
        </is>
      </c>
      <c r="C11" s="43" t="n"/>
    </row>
    <row r="12" ht="15" customHeight="1" s="29">
      <c r="A12" s="43" t="inlineStr">
        <is>
          <t>Default_PoE_Headroom_Pct</t>
        </is>
      </c>
      <c r="B12" s="43" t="inlineStr">
        <is>
          <t>20</t>
        </is>
      </c>
      <c r="C12" s="43" t="n"/>
    </row>
    <row r="13" ht="15" customHeight="1" s="29">
      <c r="A13" s="43" t="inlineStr">
        <is>
          <t>Default_Oversubscription</t>
        </is>
      </c>
      <c r="B13" s="43" t="inlineStr">
        <is>
          <t>1</t>
        </is>
      </c>
      <c r="C13" s="43" t="inlineStr">
        <is>
          <t>1 = line-rate</t>
        </is>
      </c>
    </row>
    <row r="14" ht="15" customHeight="1" s="29">
      <c r="A14" s="43" t="inlineStr">
        <is>
          <t>Max_LAG_Members</t>
        </is>
      </c>
      <c r="B14" s="43" t="inlineStr">
        <is>
          <t>8</t>
        </is>
      </c>
      <c r="C14" s="43" t="inlineStr">
        <is>
          <t>Max uplinks per switch</t>
        </is>
      </c>
    </row>
    <row r="15" ht="23.85" customHeight="1" s="29">
      <c r="A15" s="43" t="inlineStr">
        <is>
          <t>Min_Uplink_Gbps</t>
        </is>
      </c>
      <c r="B15" s="43" t="inlineStr">
        <is>
          <t>1</t>
        </is>
      </c>
      <c r="C15" s="43" t="inlineStr">
        <is>
          <t>Slowest uplink speed to the core. 1 allows 1G uplinks when the bandwidth fits (for example audio on stream bandwidth); raise to 10 to force 10G uplinks everywhere</t>
        </is>
      </c>
    </row>
    <row r="16" ht="15" customHeight="1" s="29">
      <c r="A16" s="43" t="inlineStr">
        <is>
          <t>Stream_Uplink_Headroom_Pct</t>
        </is>
      </c>
      <c r="B16" s="43" t="inlineStr">
        <is>
          <t>50</t>
        </is>
      </c>
      <c r="C16" s="43" t="inlineStr">
        <is>
          <t>Stream bandwidth basis only: uplinks must carry the stream total plus this margin, because stream rates are typical, not peak. Line-rate needs no margin</t>
        </is>
      </c>
    </row>
    <row r="17" ht="15" customHeight="1" s="29">
      <c r="A17" s="43" t="inlineStr">
        <is>
          <t>Uplink_LAG_Sizes</t>
        </is>
      </c>
      <c r="B17" s="43" t="inlineStr">
        <is>
          <t>1,2,4,8</t>
        </is>
      </c>
      <c r="C17" s="51" t="inlineStr">
        <is>
          <t>Allowed uplink counts per LAG. Powers of 2 hash evenly; 1 only when single uplink is allowed</t>
        </is>
      </c>
    </row>
    <row r="18">
      <c r="A18" s="43" t="inlineStr">
        <is>
          <t>In_Rack_Max_m</t>
        </is>
      </c>
      <c r="B18" s="43" t="inlineStr">
        <is>
          <t>20</t>
        </is>
      </c>
      <c r="C18" s="43" t="inlineStr">
        <is>
          <t>MDF links at or below this use DAC/AOC</t>
        </is>
      </c>
    </row>
    <row r="19">
      <c r="A19" s="43" t="inlineStr">
        <is>
          <t>Copper_10G_Max_m</t>
        </is>
      </c>
      <c r="B19" s="43" t="inlineStr">
        <is>
          <t>100</t>
        </is>
      </c>
      <c r="C19" s="43" t="inlineStr">
        <is>
          <t>Longest Cat6a run for 10GBASE-T. Used when the gateway router connects to a room switch over copper (core has no free 10G port)</t>
        </is>
      </c>
    </row>
    <row r="20">
      <c r="A20" s="43" t="inlineStr">
        <is>
          <t>Endpoint_Speeds_Gbps</t>
        </is>
      </c>
      <c r="B20" s="43" t="inlineStr">
        <is>
          <t>1,2.5,5,10,25,50,100</t>
        </is>
      </c>
      <c r="C20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List_Price_USD</t>
        </is>
      </c>
      <c r="C13" s="43" t="inlineStr">
        <is>
          <t>Commercial</t>
        </is>
      </c>
      <c r="D13" s="43" t="inlineStr">
        <is>
          <t>USD</t>
        </is>
      </c>
      <c r="E13" s="43" t="inlineStr">
        <is>
          <t>Number</t>
        </is>
      </c>
      <c r="F13" s="43" t="inlineStr">
        <is>
          <t>TO FILL from price book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  <row r="115">
      <c r="A115" s="43" t="inlineStr">
        <is>
          <t>Products</t>
        </is>
      </c>
      <c r="B115" s="51" t="inlineStr">
        <is>
          <t>Support_Tiers</t>
        </is>
      </c>
      <c r="C115" s="43" t="n"/>
      <c r="D115" s="43" t="n"/>
      <c r="E115" s="43" t="inlineStr">
        <is>
          <t>List</t>
        </is>
      </c>
      <c r="F115" s="51" t="inlineStr">
        <is>
          <t>Support tiers that can be bought: Sprint, Overdrive, Fastlane. The tool offers only these per product</t>
        </is>
      </c>
    </row>
    <row r="116" s="29">
      <c r="A116" s="43" t="inlineStr">
        <is>
          <t>Products</t>
        </is>
      </c>
      <c r="B116" s="51" t="inlineStr">
        <is>
          <t>Included_Support</t>
        </is>
      </c>
      <c r="C116" s="43" t="n"/>
      <c r="D116" s="43" t="n"/>
      <c r="E116" s="43" t="inlineStr">
        <is>
          <t>Text</t>
        </is>
      </c>
      <c r="F116" s="51" t="inlineStr">
        <is>
          <t>Support included with the product, e.g. 'Sprint 3 yr' for managed switches (no SKU needed)</t>
        </is>
      </c>
    </row>
    <row r="117">
      <c r="A117" s="43" t="inlineStr">
        <is>
          <t>Products</t>
        </is>
      </c>
      <c r="B117" s="51" t="inlineStr">
        <is>
          <t>Neutrik_etherCON_Ports</t>
        </is>
      </c>
      <c r="C117" s="43" t="n"/>
      <c r="D117" s="43" t="inlineStr">
        <is>
          <t>count</t>
        </is>
      </c>
      <c r="E117" s="43" t="inlineStr">
        <is>
          <t>Number</t>
        </is>
      </c>
      <c r="F117" s="51" t="inlineStr">
        <is>
          <t>Locking Neutrik etherCON RJ45 ports (front). 0 = standard RJ45 only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  <row r="24">
      <c r="A24" s="43" t="inlineStr">
        <is>
          <t>Support</t>
        </is>
      </c>
      <c r="B24" s="51" t="inlineStr">
        <is>
          <t>Sprint / Overdrive / Fastlane SKUs ({tier}-{Product_ID}-{12/36/60}) follow the pattern in Confluence SSO "Support 2.0 Update" (Apr 2026); per-model SKUs are not listed in the datasheets.</t>
        </is>
      </c>
      <c r="C24" s="51" t="inlineStr">
        <is>
          <t>Confirm the SKU exists for each model before quoting. Fastlane confirmed on reseller listings for M4350; to confirm for M4250.</t>
        </is>
      </c>
    </row>
    <row r="25" s="29">
      <c r="A25" s="43" t="inlineStr">
        <is>
          <t>Support</t>
        </is>
      </c>
      <c r="B25" s="51" t="inlineStr">
        <is>
          <t>Fastlane for M4500, WBE718/758 and PR460X is not listed in their datasheets.</t>
        </is>
      </c>
      <c r="C25" s="51" t="inlineStr">
        <is>
          <t>Support_Tiers set to Sprint, Overdrive for these. Add Fastlane when confirmed.</t>
        </is>
      </c>
    </row>
    <row r="26">
      <c r="A26" s="43" t="inlineStr">
        <is>
          <t>M4350</t>
        </is>
      </c>
      <c r="B26" s="51" t="inlineStr">
        <is>
          <t>Datasheet DS-M4350-03Jul26 lists Sprint and Overdrive SKUs per model; Fastlane is not listed.</t>
        </is>
      </c>
      <c r="C26" s="51" t="inlineStr">
        <is>
          <t>Fastlane kept as an option per the Support 2.0 update (bought through resellers). Confirm per model.</t>
        </is>
      </c>
    </row>
    <row r="27">
      <c r="A27" s="43" t="inlineStr">
        <is>
          <t>M4350-16M4V</t>
        </is>
      </c>
      <c r="B27" s="51" t="inlineStr">
        <is>
          <t>Interface card options (APM414C/SD/LD) are in the catalog but the tool always assumes the shipping APM414V card.</t>
        </is>
      </c>
      <c r="C27" s="51" t="inlineStr">
        <is>
          <t>Card choice to be added to the tool.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  <row r="18">
      <c r="H18" s="39" t="inlineStr">
        <is>
          <t>Interface Card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2026-10-02T01:46:09Z</dcterms:modified>
  <cp:revision>0</cp:revision>
</cp:coreProperties>
</file>